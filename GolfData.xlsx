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lefties-righties\"/>
    </mc:Choice>
  </mc:AlternateContent>
  <xr:revisionPtr revIDLastSave="0" documentId="13_ncr:1_{CA5C4F46-97DA-4910-B37D-14AFE0B7BA05}" xr6:coauthVersionLast="47" xr6:coauthVersionMax="47" xr10:uidLastSave="{00000000-0000-0000-0000-000000000000}"/>
  <bookViews>
    <workbookView xWindow="-22875" yWindow="1740" windowWidth="21600" windowHeight="11295" xr2:uid="{F1F4E65E-AD11-4B54-8698-5E2E800D5E67}"/>
  </bookViews>
  <sheets>
    <sheet name="Zápasy" sheetId="1" r:id="rId1"/>
    <sheet name="Turnaje" sheetId="2" r:id="rId2"/>
  </sheets>
  <definedNames>
    <definedName name="Lefties">#REF!</definedName>
    <definedName name="PlayersHCP">#REF!</definedName>
    <definedName name="PlayersName">#REF!</definedName>
    <definedName name="Righties">#REF!</definedName>
    <definedName name="Turnaj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8" i="1" l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<sst xmlns="http://schemas.openxmlformats.org/spreadsheetml/2006/main" count="2101" uniqueCount="136">
  <si>
    <t>Rok</t>
  </si>
  <si>
    <t>Deň</t>
  </si>
  <si>
    <t>Zápas</t>
  </si>
  <si>
    <t>Formát</t>
  </si>
  <si>
    <t>L1</t>
  </si>
  <si>
    <t>L2</t>
  </si>
  <si>
    <t>R1</t>
  </si>
  <si>
    <t>R2</t>
  </si>
  <si>
    <t>Lefties</t>
  </si>
  <si>
    <t>Righties</t>
  </si>
  <si>
    <t>Lbody</t>
  </si>
  <si>
    <t>Rbody</t>
  </si>
  <si>
    <t>Víťaz</t>
  </si>
  <si>
    <t>1.</t>
  </si>
  <si>
    <t>Foursome</t>
  </si>
  <si>
    <t>Štefko Andrej</t>
  </si>
  <si>
    <t>Novák Peter</t>
  </si>
  <si>
    <t>Baláž Karol</t>
  </si>
  <si>
    <t>Vališ Michal</t>
  </si>
  <si>
    <t>Segéň Ján</t>
  </si>
  <si>
    <t>Raček Vladimír</t>
  </si>
  <si>
    <t>Nagy Pavol</t>
  </si>
  <si>
    <t>Tarnóczy Peter</t>
  </si>
  <si>
    <t>A/S</t>
  </si>
  <si>
    <t>Ličko Milan</t>
  </si>
  <si>
    <t>Schin Peter</t>
  </si>
  <si>
    <t>Sill Roland</t>
  </si>
  <si>
    <t>Ryba Pavol</t>
  </si>
  <si>
    <t>Stanček Rastislav</t>
  </si>
  <si>
    <t>Brincko Milan</t>
  </si>
  <si>
    <t>Holeša Jaroslav</t>
  </si>
  <si>
    <t>Bajza Miloš</t>
  </si>
  <si>
    <t>Kolesár Peter</t>
  </si>
  <si>
    <t>Belan Michal</t>
  </si>
  <si>
    <t>Varga Jozef</t>
  </si>
  <si>
    <t>Havlík Dušan</t>
  </si>
  <si>
    <t>Kafka Peter</t>
  </si>
  <si>
    <t>Just Peter</t>
  </si>
  <si>
    <t>Segéň Pavol</t>
  </si>
  <si>
    <t>Gabura Roman</t>
  </si>
  <si>
    <t>Fourball</t>
  </si>
  <si>
    <t>2.</t>
  </si>
  <si>
    <t>Single</t>
  </si>
  <si>
    <t>Wieger Peter</t>
  </si>
  <si>
    <t>Pinter Martin</t>
  </si>
  <si>
    <t>Farkašovský Karol</t>
  </si>
  <si>
    <t>Bielik Pavol</t>
  </si>
  <si>
    <t>Smatana Ladislav</t>
  </si>
  <si>
    <t>3.</t>
  </si>
  <si>
    <t>Beňo Andrej</t>
  </si>
  <si>
    <t>Polák Juraj</t>
  </si>
  <si>
    <t>Kráľ Viktor</t>
  </si>
  <si>
    <t>Nitka Miroslav</t>
  </si>
  <si>
    <t>Machcinik Dionýz</t>
  </si>
  <si>
    <t>Vedej Branislav</t>
  </si>
  <si>
    <t>Antala Rastislav</t>
  </si>
  <si>
    <t>Horanský Martin</t>
  </si>
  <si>
    <t>Mňahončák Martin</t>
  </si>
  <si>
    <t>Lacuška Jaroslav</t>
  </si>
  <si>
    <t>Pecha Ján</t>
  </si>
  <si>
    <t>Cigáň Peter</t>
  </si>
  <si>
    <t>Gotzl Roman</t>
  </si>
  <si>
    <t>Hanzalík David</t>
  </si>
  <si>
    <t>Torma Štefan</t>
  </si>
  <si>
    <t>Weis Viliam</t>
  </si>
  <si>
    <t>Očadlík Maroš</t>
  </si>
  <si>
    <t>Kollár Martin</t>
  </si>
  <si>
    <t>Jamnický Ivan</t>
  </si>
  <si>
    <t>Zlocha Martin</t>
  </si>
  <si>
    <t>Šedivý Juraj</t>
  </si>
  <si>
    <t>Ševčovic Peter</t>
  </si>
  <si>
    <t>Pospíšil Xxx</t>
  </si>
  <si>
    <t>Kokoš Valér</t>
  </si>
  <si>
    <t>Krajčík Marek</t>
  </si>
  <si>
    <t>Benčík Pavol</t>
  </si>
  <si>
    <t>Achimský Roman</t>
  </si>
  <si>
    <t>Šindelár Peter</t>
  </si>
  <si>
    <t>Holčík Ľubomír</t>
  </si>
  <si>
    <t>Potocký Róbert</t>
  </si>
  <si>
    <t>Matlák Ivan</t>
  </si>
  <si>
    <t>Galbavý Peter</t>
  </si>
  <si>
    <t>Višňovský Ľubomír</t>
  </si>
  <si>
    <t>Valo Matej</t>
  </si>
  <si>
    <t>Kotlárik Peter</t>
  </si>
  <si>
    <t>Chochol Igor</t>
  </si>
  <si>
    <t>Sciranka Milan</t>
  </si>
  <si>
    <t>Šimonč Ivan</t>
  </si>
  <si>
    <t>Šindelár Marek</t>
  </si>
  <si>
    <t>Vasilenko Martin</t>
  </si>
  <si>
    <t>Holečka Radomír</t>
  </si>
  <si>
    <t>Bednárik Rudolf</t>
  </si>
  <si>
    <t>Babic Ján</t>
  </si>
  <si>
    <t>L-Captain</t>
  </si>
  <si>
    <t>R-Captain</t>
  </si>
  <si>
    <t>Queen's park GC Myštěves</t>
  </si>
  <si>
    <t>Golf resort Olomouc</t>
  </si>
  <si>
    <t>Golf club Ostravice</t>
  </si>
  <si>
    <t>St. Andrews Links</t>
  </si>
  <si>
    <t>Panorama Golf Resort Kácov</t>
  </si>
  <si>
    <t>Zala Springs Golf Resort</t>
  </si>
  <si>
    <t>Lomnický GK</t>
  </si>
  <si>
    <t>Montgomerie Maxx Royal Belek</t>
  </si>
  <si>
    <t>Prosper Golf Čeladná Old Course</t>
  </si>
  <si>
    <t>Golf Resort Kunětická hora</t>
  </si>
  <si>
    <t>Gray Bear - Tále</t>
  </si>
  <si>
    <t>Rezort</t>
  </si>
  <si>
    <t>https://oldlakegolf.hu/wp-content/uploads/2024/07/3251n-1.jpg</t>
  </si>
  <si>
    <t>Logo</t>
  </si>
  <si>
    <t>Photo</t>
  </si>
  <si>
    <t>https://www.golfero.cz/listify/uploads/2019/05/queens-park-golf-club-resort-mysteves-home.jpg</t>
  </si>
  <si>
    <t>https://www.golfero.cz/listify/uploads/2019/05/golf-resort-olomouc-golfove-hriste-5-home.jpg</t>
  </si>
  <si>
    <t>https://www.golfhostivar.cz/wp-content/uploads/2015/04/olomouc.jpg</t>
  </si>
  <si>
    <t>https://scontent-vie1-1.xx.fbcdn.net/v/t39.30808-6/294744283_555651426354818_9063292769574535846_n.jpg?_nc_cat=106&amp;ccb=1-7&amp;_nc_sid=6ee11a&amp;_nc_ohc=jxeF2O9BHTQQ7kNvwEMLxFx&amp;_nc_oc=Adm63q4prWK8f_TyG6qr3h3mHLr4OsWV9uByBUj2n9Q1VnRPJWIoPKpsXxcm6V0Hvrk&amp;_nc_zt=23&amp;_nc_ht=scontent-vie1-1.xx&amp;_nc_gid=ILBiWwolf6T70k_snLqq0w&amp;oh=00_AfswjyFW4Rng_3-WVXu2eOqhOhhbgBAPkpohZ6QFw9vo0w&amp;oe=6987E5DD</t>
  </si>
  <si>
    <t>https://www.ostravice-golf.cz/images/Logo-GCOSE.JPG</t>
  </si>
  <si>
    <t>https://severnimorava.travel/wp-content/uploads/sites/4/2023/05/PhotoPick-103836-1280_mst.jpg</t>
  </si>
  <si>
    <t>https://linksgolfstandrews.com/wp-content/uploads/2024/04/Links-Golf-St-Andrews-The-Old-Course-St-Andrews-header.jpg</t>
  </si>
  <si>
    <t>https://upload.wikimedia.org/wikipedia/en/2/20/St_Andrews_Links.png</t>
  </si>
  <si>
    <t>https://encrypted-tbn0.gstatic.com/images?q=tbn:ANd9GcQI2CCbazTlyVj_lprIpbUqsxfyiXowzKnzaQ&amp;s</t>
  </si>
  <si>
    <t>https://www.aedproject.cz/data/project/9b/001-dsc06727-ajw.1920x1080.shrink_only.q85.jpg</t>
  </si>
  <si>
    <t>https://i.szalas.hu/hotels/758532/original/40499273.jpg</t>
  </si>
  <si>
    <t>https://sportregio2026.hu/blob/zala-springs-golf-resort-fb-logo.inbox1200x630.jpg</t>
  </si>
  <si>
    <t>https://encrypted-tbn0.gstatic.com/images?q=tbn:ANd9GcSVPYl_ND7sUm6LgFNS23lyeqatdKVYcw5GtA&amp;s</t>
  </si>
  <si>
    <t>https://kamnavyletsk.b-cdn.net/rails/active_storage/representations/proxy/eyJfcmFpbHMiOnsiZGF0YSI6NTAwNywicHVyIjoiYmxvYl9pZCJ9fQ==--e7b5f5290728002c6f40c09dce0bc77114d5e3ad/eyJfcmFpbHMiOnsiZGF0YSI6eyJmb3JtYXQiOiJqcGVnIiwicmVzaXplX3RvX2ZpbGwiOls4MzIsNTAwLHsiY3JvcCI6ImF0dGVudGlvbiJ9XSwiY29udmVydCI6ImpwZWciLCJzYXZlciI6eyJxdWFsaXR5Ijo1MCwic3RyaXAiOnRydWV9fSwicHVyIjoidmFyaWF0aW9uIn19--2d91b21b4c7abfc8e74e7b1cdefeaf768fda05cb/photo.jpeg</t>
  </si>
  <si>
    <t>https://golftatry.sk/wp-content/uploads/2025/06/Pozadie-1024x576.jpg</t>
  </si>
  <si>
    <t>https://encrypted-tbn0.gstatic.com/images?q=tbn:ANd9GcR8bSvMKEFrNgJS3pDQzx1Vcbb3z-ETQuUcFw&amp;s</t>
  </si>
  <si>
    <t>https://golfturkey.com/wp-content/uploads/2023/09/Montgomerie-Maxx-Royal.webp</t>
  </si>
  <si>
    <t>https://www.prosper-golf.cz/cache/images/project/010/10012/1920x1920/default/86/12286-1.jpg</t>
  </si>
  <si>
    <t>https://cdn.allsquaregolf.com/pictures/pictures/001/336/399/large/club_396_logo.jpg</t>
  </si>
  <si>
    <t>https://grkh.cz/wp-content/uploads/Golf-Course-8.webp</t>
  </si>
  <si>
    <t>https://www.apartmanklaudia.sk/images/golf_grey_bear_tale/gray-bear-tale.jpg</t>
  </si>
  <si>
    <t>https://www.tale.sk/wp-content/uploads/2024/03/Golf-Club-Tale_page-0001.jpg</t>
  </si>
  <si>
    <t>Old Lake Golf Club Tata</t>
  </si>
  <si>
    <t>Stav L</t>
  </si>
  <si>
    <t>Stav R</t>
  </si>
  <si>
    <t>https://cdn.allsquaregolf.com/pictures/pictures/000/141/400/sq_me/unknown_picture.jpg</t>
  </si>
  <si>
    <t>https://oldlakegolf.hu/wp-content/uploads/2024/07/oldlake_logof_k-2.jpg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</si>
</sst>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1" xfId="1" applyBorder="1"/>
    <xf numFmtId="0" fontId="0" fillId="0" borderId="0" xfId="0" applyAlignment="1">
      <alignment horizontal="center"/>
    </xf>
    <xf numFmtId="0" fontId="2" fillId="0" borderId="0" xfId="1"/>
  </cellXfs>
  <cellStyles count="2">
    <cellStyle name="Hypertextové prepojenie" xfId="1" builtinId="8"/>
    <cellStyle name="Normálna" xfId="0" builtinId="0"/>
  </cellStyles>
  <dxfs count="11"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1029100</xdr:colOff>
      <xdr:row>220</xdr:row>
      <xdr:rowOff>150990</xdr:rowOff>
    </xdr:from>
    <xdr:to>
      <xdr:col>5</xdr:col>
      <xdr:colOff>1039900</xdr:colOff>
      <xdr:row>220</xdr:row>
      <xdr:rowOff>172230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Písanie rukou 1">
              <a:extLst>
                <a:ext uri="{FF2B5EF4-FFF2-40B4-BE49-F238E27FC236}">
                  <a16:creationId xmlns:a16="http://schemas.microsoft.com/office/drawing/2014/main" id="{026738A5-B688-4726-934F-11E4CF090DC9}"/>
                </a:ext>
              </a:extLst>
            </xdr14:cNvPr>
            <xdr14:cNvContentPartPr/>
          </xdr14:nvContentPartPr>
          <xdr14:nvPr macro=""/>
          <xdr14:xfrm>
            <a:off x="4750200" y="40663990"/>
            <a:ext cx="10800" cy="21240"/>
          </xdr14:xfrm>
        </xdr:contentPart>
      </mc:Choice>
      <mc:Fallback xmlns="">
        <xdr:pic>
          <xdr:nvPicPr>
            <xdr:cNvPr id="2" name="Písanie rukou 1">
              <a:extLst>
                <a:ext uri="{FF2B5EF4-FFF2-40B4-BE49-F238E27FC236}">
                  <a16:creationId xmlns:a16="http://schemas.microsoft.com/office/drawing/2014/main" id="{286EAEAB-DD6A-8E27-19A9-C69E61C4B6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41200" y="40654990"/>
              <a:ext cx="28440" cy="3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27T15:19:49.0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 0 5520 0 0,'0'0'0'0'0,"-20"25"296"0"0,17-21 0 0 0,3 2 0 0 0,-1 3 0 0 0,-2-1-184 0 0,1-3 16 0 0,2-4-8 0 0,5-1 0 0 0,1 0 208 0 0,2 0 0 0 0</inkml:trace>
</inkml: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vernimorava.travel/wp-content/uploads/sites/4/2023/05/PhotoPick-103836-1280_mst.jpg" TargetMode="External"/><Relationship Id="rId13" Type="http://schemas.openxmlformats.org/officeDocument/2006/relationships/hyperlink" Target="https://i.szalas.hu/hotels/758532/original/40499273.jpg" TargetMode="External"/><Relationship Id="rId18" Type="http://schemas.openxmlformats.org/officeDocument/2006/relationships/hyperlink" Target="https://encrypted-tbn0.gstatic.com/images?q=tbn:ANd9GcR8bSvMKEFrNgJS3pDQzx1Vcbb3z-ETQuUcFw&amp;s" TargetMode="External"/><Relationship Id="rId26" Type="http://schemas.openxmlformats.org/officeDocument/2006/relationships/hyperlink" Target="https://kamnavyletsk.b-cdn.net/rails/active_storage/representations/proxy/eyJfcmFpbHMiOnsiZGF0YSI6NTAwNywicHVyIjoiYmxvYl9pZCJ9fQ==--e7b5f5290728002c6f40c09dce0bc77114d5e3ad/eyJfcmFpbHMiOnsiZGF0YSI6eyJmb3JtYXQiOiJqcGVnIiwicmVzaXplX3RvX2ZpbGwiOls4MzIsNTAwLHsiY3JvcCI6ImF0dGVudGlvbiJ9XSwiY29udmVydCI6ImpwZWciLCJzYXZlciI6eyJxdWFsaXR5Ijo1MCwic3RyaXAiOnRydWV9fSwicHVyIjoidmFyaWF0aW9uIn19--2d91b21b4c7abfc8e74e7b1cdefeaf768fda05cb/photo.jpeg" TargetMode="External"/><Relationship Id="rId3" Type="http://schemas.openxmlformats.org/officeDocument/2006/relationships/hyperlink" Target="https://scontent-vie1-1.xx.fbcdn.net/v/t39.30808-6/294744283_555651426354818_9063292769574535846_n.jpg?_nc_cat=106&amp;ccb=1-7&amp;_nc_sid=6ee11a&amp;_nc_ohc=jxeF2O9BHTQQ7kNvwEMLxFx&amp;_nc_oc=Adm63q4prWK8f_TyG6qr3h3mHLr4OsWV9uByBUj2n9Q1VnRPJWIoPKpsXxcm6V0Hvrk&amp;_nc_zt=23&amp;_nc_ht=scontent-vie1-1.xx&amp;_nc_gid=ILBiWwolf6T70k_snLqq0w&amp;oh=00_AfswjyFW4Rng_3-WVXu2eOqhOhhbgBAPkpohZ6QFw9vo0w&amp;oe=6987E5DD" TargetMode="External"/><Relationship Id="rId21" Type="http://schemas.openxmlformats.org/officeDocument/2006/relationships/hyperlink" Target="https://cdn.allsquaregolf.com/pictures/pictures/001/336/399/large/club_396_logo.jpg" TargetMode="External"/><Relationship Id="rId7" Type="http://schemas.openxmlformats.org/officeDocument/2006/relationships/hyperlink" Target="https://www.ostravice-golf.cz/images/Logo-GCOSE.JPG" TargetMode="External"/><Relationship Id="rId12" Type="http://schemas.openxmlformats.org/officeDocument/2006/relationships/hyperlink" Target="https://www.aedproject.cz/data/project/9b/001-dsc06727-ajw.1920x1080.shrink_only.q85.jpg" TargetMode="External"/><Relationship Id="rId17" Type="http://schemas.openxmlformats.org/officeDocument/2006/relationships/hyperlink" Target="https://golftatry.sk/wp-content/uploads/2025/06/Pozadie-1024x576.jpg" TargetMode="External"/><Relationship Id="rId25" Type="http://schemas.openxmlformats.org/officeDocument/2006/relationships/hyperlink" Target="https://www.tale.sk/wp-content/uploads/2024/03/Golf-Club-Tale_page-0001.jpg" TargetMode="External"/><Relationship Id="rId2" Type="http://schemas.openxmlformats.org/officeDocument/2006/relationships/hyperlink" Target="https://oldlakegolf.hu/wp-content/uploads/2024/07/oldlake_logof_k-2.jpg" TargetMode="External"/><Relationship Id="rId16" Type="http://schemas.openxmlformats.org/officeDocument/2006/relationships/hyperlink" Target="https://encrypted-tbn0.gstatic.com/images?q=tbn:ANd9GcSVPYl_ND7sUm6LgFNS23lyeqatdKVYcw5GtA&amp;s" TargetMode="External"/><Relationship Id="rId20" Type="http://schemas.openxmlformats.org/officeDocument/2006/relationships/hyperlink" Target="https://www.prosper-golf.cz/cache/images/project/010/10012/1920x1920/default/86/12286-1.jpg" TargetMode="External"/><Relationship Id="rId1" Type="http://schemas.openxmlformats.org/officeDocument/2006/relationships/hyperlink" Target="https://oldlakegolf.hu/wp-content/uploads/2024/07/3251n-1.jpg" TargetMode="External"/><Relationship Id="rId6" Type="http://schemas.openxmlformats.org/officeDocument/2006/relationships/hyperlink" Target="https://www.golfero.cz/listify/uploads/2019/05/golf-resort-olomouc-golfove-hriste-5-home.jpg" TargetMode="External"/><Relationship Id="rId11" Type="http://schemas.openxmlformats.org/officeDocument/2006/relationships/hyperlink" Target="https://encrypted-tbn0.gstatic.com/images?q=tbn:ANd9GcQI2CCbazTlyVj_lprIpbUqsxfyiXowzKnzaQ&amp;s" TargetMode="External"/><Relationship Id="rId24" Type="http://schemas.openxmlformats.org/officeDocument/2006/relationships/hyperlink" Target="https://www.apartmanklaudia.sk/images/golf_grey_bear_tale/gray-bear-tale.jpg" TargetMode="External"/><Relationship Id="rId5" Type="http://schemas.openxmlformats.org/officeDocument/2006/relationships/hyperlink" Target="https://www.golfero.cz/listify/uploads/2019/05/queens-park-golf-club-resort-mysteves-home.jpg" TargetMode="External"/><Relationship Id="rId15" Type="http://schemas.openxmlformats.org/officeDocument/2006/relationships/hyperlink" Target="https://encrypted-tbn0.gstatic.com/images?q=tbn:ANd9GcSVPYl_ND7sUm6LgFNS23lyeqatdKVYcw5GtA&amp;s" TargetMode="External"/><Relationship Id="rId23" Type="http://schemas.openxmlformats.org/officeDocument/2006/relationships/hyperlink" Target="https://grkh.cz/wp-content/uploads/Golf-Course-8.webp" TargetMode="External"/><Relationship Id="rId10" Type="http://schemas.openxmlformats.org/officeDocument/2006/relationships/hyperlink" Target="https://upload.wikimedia.org/wikipedia/en/2/20/St_Andrews_Links.png" TargetMode="External"/><Relationship Id="rId19" Type="http://schemas.openxmlformats.org/officeDocument/2006/relationships/hyperlink" Target="https://golfturkey.com/wp-content/uploads/2023/09/Montgomerie-Maxx-Royal.webp" TargetMode="External"/><Relationship Id="rId4" Type="http://schemas.openxmlformats.org/officeDocument/2006/relationships/hyperlink" Target="https://www.golfhostivar.cz/wp-content/uploads/2015/04/olomouc.jpg" TargetMode="External"/><Relationship Id="rId9" Type="http://schemas.openxmlformats.org/officeDocument/2006/relationships/hyperlink" Target="https://linksgolfstandrews.com/wp-content/uploads/2024/04/Links-Golf-St-Andrews-The-Old-Course-St-Andrews-header.jpg" TargetMode="External"/><Relationship Id="rId14" Type="http://schemas.openxmlformats.org/officeDocument/2006/relationships/hyperlink" Target="https://sportregio2026.hu/blob/zala-springs-golf-resort-fb-logo.inbox1200x630.jpg" TargetMode="External"/><Relationship Id="rId22" Type="http://schemas.openxmlformats.org/officeDocument/2006/relationships/hyperlink" Target="https://cdn.allsquaregolf.com/pictures/pictures/000/141/400/sq_me/unknown_picture.jpg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8EBE-F761-43A0-B680-B163CBB81B3A}">
  <dimension ref="A1:M328"/>
  <sheetViews>
    <sheetView tabSelected="1" topLeftCell="A298" workbookViewId="0">
      <selection activeCell="H14" sqref="H14"/>
    </sheetView>
  </sheetViews>
  <sheetFormatPr defaultRowHeight="15" x14ac:dyDescent="0.25"/>
  <cols>
    <col min="1" max="1" width="8.85546875" style="8" customWidth="1"/>
    <col min="2" max="2" width="4.5703125" style="8" customWidth="1"/>
    <col min="3" max="3" width="6" style="8" customWidth="1"/>
    <col min="4" max="4" width="13.7109375" style="8" customWidth="1"/>
    <col min="5" max="8" width="17.7109375" style="16" bestFit="1" customWidth="1"/>
    <col min="9" max="9" width="19.7109375" style="8" bestFit="1" customWidth="1"/>
    <col min="10" max="10" width="19.28515625" style="8" bestFit="1" customWidth="1"/>
    <col min="11" max="11" width="11.42578125" style="9" customWidth="1"/>
    <col min="12" max="12" width="13.7109375" style="9" customWidth="1"/>
    <col min="13" max="13" width="12" style="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</row>
    <row r="2" spans="1:13" x14ac:dyDescent="0.25">
      <c r="A2" s="3">
        <v>2014</v>
      </c>
      <c r="B2" s="3" t="s">
        <v>13</v>
      </c>
      <c r="C2" s="3">
        <v>1</v>
      </c>
      <c r="D2" s="4" t="s">
        <v>14</v>
      </c>
      <c r="E2" s="11" t="s">
        <v>16</v>
      </c>
      <c r="F2" s="11" t="s">
        <v>15</v>
      </c>
      <c r="G2" s="11" t="s">
        <v>17</v>
      </c>
      <c r="H2" s="11" t="s">
        <v>18</v>
      </c>
      <c r="I2" s="5" t="str">
        <f>IF(E2&gt;" ",IF(SEARCH(" ",E2)&gt;0,LEFT(E2,SEARCH(" ",E2)-1)) &amp; IF(F2&gt;" ",", " &amp; IF(SEARCH(" ",F2)&gt;0, LEFT(F2,SEARCH(" ",F2)-1)),""),"")</f>
        <v>Novák, Štefko</v>
      </c>
      <c r="J2" s="6" t="str">
        <f>IF(G2&gt;" ",IF(SEARCH(" ",G2)&gt;0,LEFT(G2,SEARCH(" ",G2)-1)) &amp; IF(H2&gt;" ",", " &amp; IF(SEARCH(" ",H2)&gt;0, LEFT(H2,SEARCH(" ",H2)-1)),""),"")</f>
        <v>Baláž, Vališ</v>
      </c>
      <c r="K2" s="7">
        <f>IF(M2="Lefties",1,IF(M2="Righties",0,IF(M2="A/S",1/2,"")))</f>
        <v>1</v>
      </c>
      <c r="L2" s="7">
        <f>IF(M2="Righties",1,IF(M2="Lefties",0,IF(M2="A/S",1/2,"")))</f>
        <v>0</v>
      </c>
      <c r="M2" s="3" t="s">
        <v>8</v>
      </c>
    </row>
    <row r="3" spans="1:13" x14ac:dyDescent="0.25">
      <c r="A3" s="3">
        <v>2014</v>
      </c>
      <c r="B3" s="3" t="s">
        <v>13</v>
      </c>
      <c r="C3" s="3">
        <v>2</v>
      </c>
      <c r="D3" s="4" t="s">
        <v>14</v>
      </c>
      <c r="E3" s="11" t="s">
        <v>20</v>
      </c>
      <c r="F3" s="11" t="s">
        <v>19</v>
      </c>
      <c r="G3" s="11" t="s">
        <v>21</v>
      </c>
      <c r="H3" s="11" t="s">
        <v>22</v>
      </c>
      <c r="I3" s="5" t="str">
        <f t="shared" ref="I3:I66" si="0">IF(E3&gt;" ",IF(SEARCH(" ",E3)&gt;0,LEFT(E3,SEARCH(" ",E3)-1)) &amp; IF(F3&gt;" ",", " &amp; IF(SEARCH(" ",F3)&gt;0, LEFT(F3,SEARCH(" ",F3)-1)),""),"")</f>
        <v>Raček, Segéň</v>
      </c>
      <c r="J3" s="6" t="str">
        <f t="shared" ref="J3:J66" si="1">IF(G3&gt;" ",IF(SEARCH(" ",G3)&gt;0,LEFT(G3,SEARCH(" ",G3)-1)) &amp; IF(H3&gt;" ",", " &amp; IF(SEARCH(" ",H3)&gt;0, LEFT(H3,SEARCH(" ",H3)-1)),""),"")</f>
        <v>Nagy, Tarnóczy</v>
      </c>
      <c r="K3" s="7">
        <f t="shared" ref="K3:K66" si="2">IF(M3="Lefties",1,IF(M3="Righties",0,IF(M3="A/S",1/2,"")))</f>
        <v>0.5</v>
      </c>
      <c r="L3" s="7">
        <f t="shared" ref="L3:L66" si="3">IF(M3="Righties",1,IF(M3="Lefties",0,IF(M3="A/S",1/2,"")))</f>
        <v>0.5</v>
      </c>
      <c r="M3" s="3" t="s">
        <v>23</v>
      </c>
    </row>
    <row r="4" spans="1:13" x14ac:dyDescent="0.25">
      <c r="A4" s="3">
        <v>2014</v>
      </c>
      <c r="B4" s="3" t="s">
        <v>13</v>
      </c>
      <c r="C4" s="3">
        <v>3</v>
      </c>
      <c r="D4" s="4" t="s">
        <v>14</v>
      </c>
      <c r="E4" s="11" t="s">
        <v>24</v>
      </c>
      <c r="F4" s="11" t="s">
        <v>25</v>
      </c>
      <c r="G4" s="11" t="s">
        <v>27</v>
      </c>
      <c r="H4" s="11" t="s">
        <v>26</v>
      </c>
      <c r="I4" s="5" t="str">
        <f t="shared" si="0"/>
        <v>Ličko, Schin</v>
      </c>
      <c r="J4" s="6" t="str">
        <f t="shared" si="1"/>
        <v>Ryba, Sill</v>
      </c>
      <c r="K4" s="7">
        <f t="shared" si="2"/>
        <v>1</v>
      </c>
      <c r="L4" s="7">
        <f t="shared" si="3"/>
        <v>0</v>
      </c>
      <c r="M4" s="3" t="s">
        <v>8</v>
      </c>
    </row>
    <row r="5" spans="1:13" x14ac:dyDescent="0.25">
      <c r="A5" s="3">
        <v>2014</v>
      </c>
      <c r="B5" s="3" t="s">
        <v>13</v>
      </c>
      <c r="C5" s="3">
        <v>4</v>
      </c>
      <c r="D5" s="4" t="s">
        <v>14</v>
      </c>
      <c r="E5" s="11" t="s">
        <v>29</v>
      </c>
      <c r="F5" s="11" t="s">
        <v>28</v>
      </c>
      <c r="G5" s="11" t="s">
        <v>31</v>
      </c>
      <c r="H5" s="11" t="s">
        <v>30</v>
      </c>
      <c r="I5" s="5" t="str">
        <f t="shared" si="0"/>
        <v>Brincko, Stanček</v>
      </c>
      <c r="J5" s="6" t="str">
        <f t="shared" si="1"/>
        <v>Bajza, Holeša</v>
      </c>
      <c r="K5" s="7">
        <f t="shared" si="2"/>
        <v>1</v>
      </c>
      <c r="L5" s="7">
        <f t="shared" si="3"/>
        <v>0</v>
      </c>
      <c r="M5" s="3" t="s">
        <v>8</v>
      </c>
    </row>
    <row r="6" spans="1:13" x14ac:dyDescent="0.25">
      <c r="A6" s="3">
        <v>2014</v>
      </c>
      <c r="B6" s="3" t="s">
        <v>13</v>
      </c>
      <c r="C6" s="3">
        <v>5</v>
      </c>
      <c r="D6" s="4" t="s">
        <v>14</v>
      </c>
      <c r="E6" s="11" t="s">
        <v>33</v>
      </c>
      <c r="F6" s="11" t="s">
        <v>32</v>
      </c>
      <c r="G6" s="11" t="s">
        <v>35</v>
      </c>
      <c r="H6" s="11" t="s">
        <v>34</v>
      </c>
      <c r="I6" s="5" t="str">
        <f t="shared" si="0"/>
        <v>Belan, Kolesár</v>
      </c>
      <c r="J6" s="6" t="str">
        <f t="shared" si="1"/>
        <v>Havlík, Varga</v>
      </c>
      <c r="K6" s="7">
        <f t="shared" si="2"/>
        <v>0</v>
      </c>
      <c r="L6" s="7">
        <f t="shared" si="3"/>
        <v>1</v>
      </c>
      <c r="M6" s="3" t="s">
        <v>9</v>
      </c>
    </row>
    <row r="7" spans="1:13" x14ac:dyDescent="0.25">
      <c r="A7" s="3">
        <v>2014</v>
      </c>
      <c r="B7" s="3" t="s">
        <v>13</v>
      </c>
      <c r="C7" s="3">
        <v>6</v>
      </c>
      <c r="D7" s="4" t="s">
        <v>14</v>
      </c>
      <c r="E7" s="11" t="s">
        <v>37</v>
      </c>
      <c r="F7" s="11" t="s">
        <v>36</v>
      </c>
      <c r="G7" s="11" t="s">
        <v>39</v>
      </c>
      <c r="H7" s="11" t="s">
        <v>38</v>
      </c>
      <c r="I7" s="5" t="str">
        <f t="shared" si="0"/>
        <v>Just, Kafka</v>
      </c>
      <c r="J7" s="6" t="str">
        <f t="shared" si="1"/>
        <v>Gabura, Segéň</v>
      </c>
      <c r="K7" s="7">
        <f t="shared" si="2"/>
        <v>0</v>
      </c>
      <c r="L7" s="7">
        <f t="shared" si="3"/>
        <v>1</v>
      </c>
      <c r="M7" s="3" t="s">
        <v>9</v>
      </c>
    </row>
    <row r="8" spans="1:13" x14ac:dyDescent="0.25">
      <c r="A8" s="3">
        <v>2014</v>
      </c>
      <c r="B8" s="3" t="s">
        <v>13</v>
      </c>
      <c r="C8" s="3">
        <v>7</v>
      </c>
      <c r="D8" s="4" t="s">
        <v>40</v>
      </c>
      <c r="E8" s="11" t="s">
        <v>33</v>
      </c>
      <c r="F8" s="11" t="s">
        <v>15</v>
      </c>
      <c r="G8" s="11" t="s">
        <v>21</v>
      </c>
      <c r="H8" s="11" t="s">
        <v>38</v>
      </c>
      <c r="I8" s="5" t="str">
        <f t="shared" si="0"/>
        <v>Belan, Štefko</v>
      </c>
      <c r="J8" s="6" t="str">
        <f t="shared" si="1"/>
        <v>Nagy, Segéň</v>
      </c>
      <c r="K8" s="7">
        <f t="shared" si="2"/>
        <v>0</v>
      </c>
      <c r="L8" s="7">
        <f t="shared" si="3"/>
        <v>1</v>
      </c>
      <c r="M8" s="3" t="s">
        <v>9</v>
      </c>
    </row>
    <row r="9" spans="1:13" x14ac:dyDescent="0.25">
      <c r="A9" s="3">
        <v>2014</v>
      </c>
      <c r="B9" s="3" t="s">
        <v>13</v>
      </c>
      <c r="C9" s="3">
        <v>8</v>
      </c>
      <c r="D9" s="4" t="s">
        <v>40</v>
      </c>
      <c r="E9" s="11" t="s">
        <v>24</v>
      </c>
      <c r="F9" s="11" t="s">
        <v>28</v>
      </c>
      <c r="G9" s="11" t="s">
        <v>31</v>
      </c>
      <c r="H9" s="11" t="s">
        <v>34</v>
      </c>
      <c r="I9" s="5" t="str">
        <f t="shared" si="0"/>
        <v>Ličko, Stanček</v>
      </c>
      <c r="J9" s="6" t="str">
        <f t="shared" si="1"/>
        <v>Bajza, Varga</v>
      </c>
      <c r="K9" s="7">
        <f t="shared" si="2"/>
        <v>1</v>
      </c>
      <c r="L9" s="7">
        <f t="shared" si="3"/>
        <v>0</v>
      </c>
      <c r="M9" s="3" t="s">
        <v>8</v>
      </c>
    </row>
    <row r="10" spans="1:13" x14ac:dyDescent="0.25">
      <c r="A10" s="3">
        <v>2014</v>
      </c>
      <c r="B10" s="3" t="s">
        <v>13</v>
      </c>
      <c r="C10" s="3">
        <v>9</v>
      </c>
      <c r="D10" s="4" t="s">
        <v>40</v>
      </c>
      <c r="E10" s="11" t="s">
        <v>16</v>
      </c>
      <c r="F10" s="11" t="s">
        <v>19</v>
      </c>
      <c r="G10" s="11" t="s">
        <v>17</v>
      </c>
      <c r="H10" s="11" t="s">
        <v>35</v>
      </c>
      <c r="I10" s="5" t="str">
        <f t="shared" si="0"/>
        <v>Novák, Segéň</v>
      </c>
      <c r="J10" s="6" t="str">
        <f t="shared" si="1"/>
        <v>Baláž, Havlík</v>
      </c>
      <c r="K10" s="7">
        <f t="shared" si="2"/>
        <v>1</v>
      </c>
      <c r="L10" s="7">
        <f t="shared" si="3"/>
        <v>0</v>
      </c>
      <c r="M10" s="3" t="s">
        <v>8</v>
      </c>
    </row>
    <row r="11" spans="1:13" x14ac:dyDescent="0.25">
      <c r="A11" s="3">
        <v>2014</v>
      </c>
      <c r="B11" s="3" t="s">
        <v>13</v>
      </c>
      <c r="C11" s="3">
        <v>10</v>
      </c>
      <c r="D11" s="4" t="s">
        <v>40</v>
      </c>
      <c r="E11" s="11" t="s">
        <v>29</v>
      </c>
      <c r="F11" s="11" t="s">
        <v>36</v>
      </c>
      <c r="G11" s="11" t="s">
        <v>39</v>
      </c>
      <c r="H11" s="11" t="s">
        <v>30</v>
      </c>
      <c r="I11" s="5" t="str">
        <f t="shared" si="0"/>
        <v>Brincko, Kafka</v>
      </c>
      <c r="J11" s="6" t="str">
        <f t="shared" si="1"/>
        <v>Gabura, Holeša</v>
      </c>
      <c r="K11" s="7">
        <f t="shared" si="2"/>
        <v>0</v>
      </c>
      <c r="L11" s="7">
        <f t="shared" si="3"/>
        <v>1</v>
      </c>
      <c r="M11" s="3" t="s">
        <v>9</v>
      </c>
    </row>
    <row r="12" spans="1:13" x14ac:dyDescent="0.25">
      <c r="A12" s="3">
        <v>2014</v>
      </c>
      <c r="B12" s="3" t="s">
        <v>13</v>
      </c>
      <c r="C12" s="3">
        <v>11</v>
      </c>
      <c r="D12" s="4" t="s">
        <v>40</v>
      </c>
      <c r="E12" s="11" t="s">
        <v>32</v>
      </c>
      <c r="F12" s="11" t="s">
        <v>25</v>
      </c>
      <c r="G12" s="11" t="s">
        <v>26</v>
      </c>
      <c r="H12" s="11" t="s">
        <v>22</v>
      </c>
      <c r="I12" s="5" t="str">
        <f t="shared" si="0"/>
        <v>Kolesár, Schin</v>
      </c>
      <c r="J12" s="6" t="str">
        <f t="shared" si="1"/>
        <v>Sill, Tarnóczy</v>
      </c>
      <c r="K12" s="7">
        <f t="shared" si="2"/>
        <v>1</v>
      </c>
      <c r="L12" s="7">
        <f t="shared" si="3"/>
        <v>0</v>
      </c>
      <c r="M12" s="3" t="s">
        <v>8</v>
      </c>
    </row>
    <row r="13" spans="1:13" x14ac:dyDescent="0.25">
      <c r="A13" s="3">
        <v>2014</v>
      </c>
      <c r="B13" s="3" t="s">
        <v>13</v>
      </c>
      <c r="C13" s="3">
        <v>12</v>
      </c>
      <c r="D13" s="4" t="s">
        <v>40</v>
      </c>
      <c r="E13" s="11" t="s">
        <v>37</v>
      </c>
      <c r="F13" s="11" t="s">
        <v>20</v>
      </c>
      <c r="G13" s="11" t="s">
        <v>27</v>
      </c>
      <c r="H13" s="11" t="s">
        <v>18</v>
      </c>
      <c r="I13" s="5" t="str">
        <f t="shared" si="0"/>
        <v>Just, Raček</v>
      </c>
      <c r="J13" s="6" t="str">
        <f t="shared" si="1"/>
        <v>Ryba, Vališ</v>
      </c>
      <c r="K13" s="7">
        <f t="shared" si="2"/>
        <v>0</v>
      </c>
      <c r="L13" s="7">
        <f t="shared" si="3"/>
        <v>1</v>
      </c>
      <c r="M13" s="3" t="s">
        <v>9</v>
      </c>
    </row>
    <row r="14" spans="1:13" x14ac:dyDescent="0.25">
      <c r="A14" s="3">
        <v>2014</v>
      </c>
      <c r="B14" s="3" t="s">
        <v>41</v>
      </c>
      <c r="C14" s="3">
        <v>1</v>
      </c>
      <c r="D14" s="4" t="s">
        <v>42</v>
      </c>
      <c r="E14" s="11" t="s">
        <v>29</v>
      </c>
      <c r="F14" s="11"/>
      <c r="G14" s="11" t="s">
        <v>17</v>
      </c>
      <c r="H14" s="11"/>
      <c r="I14" s="5" t="str">
        <f t="shared" si="0"/>
        <v>Brincko</v>
      </c>
      <c r="J14" s="6" t="str">
        <f t="shared" si="1"/>
        <v>Baláž</v>
      </c>
      <c r="K14" s="7">
        <f t="shared" si="2"/>
        <v>0</v>
      </c>
      <c r="L14" s="7">
        <f t="shared" si="3"/>
        <v>1</v>
      </c>
      <c r="M14" s="3" t="s">
        <v>9</v>
      </c>
    </row>
    <row r="15" spans="1:13" x14ac:dyDescent="0.25">
      <c r="A15" s="3">
        <v>2014</v>
      </c>
      <c r="B15" s="3" t="s">
        <v>41</v>
      </c>
      <c r="C15" s="3">
        <v>2</v>
      </c>
      <c r="D15" s="4" t="s">
        <v>42</v>
      </c>
      <c r="E15" s="11" t="s">
        <v>32</v>
      </c>
      <c r="F15" s="11"/>
      <c r="G15" s="11" t="s">
        <v>38</v>
      </c>
      <c r="H15" s="11"/>
      <c r="I15" s="5" t="str">
        <f t="shared" si="0"/>
        <v>Kolesár</v>
      </c>
      <c r="J15" s="6" t="str">
        <f t="shared" si="1"/>
        <v>Segéň</v>
      </c>
      <c r="K15" s="7">
        <f t="shared" si="2"/>
        <v>0</v>
      </c>
      <c r="L15" s="7">
        <f t="shared" si="3"/>
        <v>1</v>
      </c>
      <c r="M15" s="3" t="s">
        <v>9</v>
      </c>
    </row>
    <row r="16" spans="1:13" x14ac:dyDescent="0.25">
      <c r="A16" s="3">
        <v>2014</v>
      </c>
      <c r="B16" s="3" t="s">
        <v>41</v>
      </c>
      <c r="C16" s="3">
        <v>3</v>
      </c>
      <c r="D16" s="4" t="s">
        <v>42</v>
      </c>
      <c r="E16" s="11" t="s">
        <v>36</v>
      </c>
      <c r="F16" s="11"/>
      <c r="G16" s="11" t="s">
        <v>39</v>
      </c>
      <c r="H16" s="11"/>
      <c r="I16" s="5" t="str">
        <f t="shared" si="0"/>
        <v>Kafka</v>
      </c>
      <c r="J16" s="6" t="str">
        <f t="shared" si="1"/>
        <v>Gabura</v>
      </c>
      <c r="K16" s="7">
        <f t="shared" si="2"/>
        <v>1</v>
      </c>
      <c r="L16" s="7">
        <f t="shared" si="3"/>
        <v>0</v>
      </c>
      <c r="M16" s="3" t="s">
        <v>8</v>
      </c>
    </row>
    <row r="17" spans="1:13" x14ac:dyDescent="0.25">
      <c r="A17" s="3">
        <v>2014</v>
      </c>
      <c r="B17" s="3" t="s">
        <v>41</v>
      </c>
      <c r="C17" s="3">
        <v>4</v>
      </c>
      <c r="D17" s="4" t="s">
        <v>42</v>
      </c>
      <c r="E17" s="11" t="s">
        <v>24</v>
      </c>
      <c r="F17" s="11"/>
      <c r="G17" s="11" t="s">
        <v>35</v>
      </c>
      <c r="H17" s="11"/>
      <c r="I17" s="5" t="str">
        <f t="shared" si="0"/>
        <v>Ličko</v>
      </c>
      <c r="J17" s="6" t="str">
        <f t="shared" si="1"/>
        <v>Havlík</v>
      </c>
      <c r="K17" s="7">
        <f t="shared" si="2"/>
        <v>0</v>
      </c>
      <c r="L17" s="7">
        <f t="shared" si="3"/>
        <v>1</v>
      </c>
      <c r="M17" s="3" t="s">
        <v>9</v>
      </c>
    </row>
    <row r="18" spans="1:13" x14ac:dyDescent="0.25">
      <c r="A18" s="3">
        <v>2014</v>
      </c>
      <c r="B18" s="3" t="s">
        <v>41</v>
      </c>
      <c r="C18" s="3">
        <v>5</v>
      </c>
      <c r="D18" s="4" t="s">
        <v>42</v>
      </c>
      <c r="E18" s="11" t="s">
        <v>37</v>
      </c>
      <c r="F18" s="11"/>
      <c r="G18" s="11" t="s">
        <v>34</v>
      </c>
      <c r="H18" s="11"/>
      <c r="I18" s="5" t="str">
        <f t="shared" si="0"/>
        <v>Just</v>
      </c>
      <c r="J18" s="6" t="str">
        <f t="shared" si="1"/>
        <v>Varga</v>
      </c>
      <c r="K18" s="7">
        <f t="shared" si="2"/>
        <v>1</v>
      </c>
      <c r="L18" s="7">
        <f t="shared" si="3"/>
        <v>0</v>
      </c>
      <c r="M18" s="3" t="s">
        <v>8</v>
      </c>
    </row>
    <row r="19" spans="1:13" x14ac:dyDescent="0.25">
      <c r="A19" s="3">
        <v>2014</v>
      </c>
      <c r="B19" s="3" t="s">
        <v>41</v>
      </c>
      <c r="C19" s="3">
        <v>6</v>
      </c>
      <c r="D19" s="4" t="s">
        <v>42</v>
      </c>
      <c r="E19" s="11" t="s">
        <v>16</v>
      </c>
      <c r="F19" s="11"/>
      <c r="G19" s="11" t="s">
        <v>21</v>
      </c>
      <c r="H19" s="11"/>
      <c r="I19" s="5" t="str">
        <f t="shared" si="0"/>
        <v>Novák</v>
      </c>
      <c r="J19" s="6" t="str">
        <f t="shared" si="1"/>
        <v>Nagy</v>
      </c>
      <c r="K19" s="7">
        <f t="shared" si="2"/>
        <v>1</v>
      </c>
      <c r="L19" s="7">
        <f t="shared" si="3"/>
        <v>0</v>
      </c>
      <c r="M19" s="3" t="s">
        <v>8</v>
      </c>
    </row>
    <row r="20" spans="1:13" x14ac:dyDescent="0.25">
      <c r="A20" s="3">
        <v>2014</v>
      </c>
      <c r="B20" s="3" t="s">
        <v>41</v>
      </c>
      <c r="C20" s="3">
        <v>7</v>
      </c>
      <c r="D20" s="4" t="s">
        <v>42</v>
      </c>
      <c r="E20" s="11" t="s">
        <v>33</v>
      </c>
      <c r="F20" s="11"/>
      <c r="G20" s="11" t="s">
        <v>18</v>
      </c>
      <c r="H20" s="11"/>
      <c r="I20" s="5" t="str">
        <f t="shared" si="0"/>
        <v>Belan</v>
      </c>
      <c r="J20" s="6" t="str">
        <f t="shared" si="1"/>
        <v>Vališ</v>
      </c>
      <c r="K20" s="7">
        <f t="shared" si="2"/>
        <v>1</v>
      </c>
      <c r="L20" s="7">
        <f t="shared" si="3"/>
        <v>0</v>
      </c>
      <c r="M20" s="3" t="s">
        <v>8</v>
      </c>
    </row>
    <row r="21" spans="1:13" x14ac:dyDescent="0.25">
      <c r="A21" s="3">
        <v>2014</v>
      </c>
      <c r="B21" s="3" t="s">
        <v>41</v>
      </c>
      <c r="C21" s="3">
        <v>8</v>
      </c>
      <c r="D21" s="4" t="s">
        <v>42</v>
      </c>
      <c r="E21" s="11" t="s">
        <v>19</v>
      </c>
      <c r="F21" s="11"/>
      <c r="G21" s="11" t="s">
        <v>31</v>
      </c>
      <c r="H21" s="11"/>
      <c r="I21" s="5" t="str">
        <f t="shared" si="0"/>
        <v>Segéň</v>
      </c>
      <c r="J21" s="6" t="str">
        <f t="shared" si="1"/>
        <v>Bajza</v>
      </c>
      <c r="K21" s="7">
        <f t="shared" si="2"/>
        <v>1</v>
      </c>
      <c r="L21" s="7">
        <f t="shared" si="3"/>
        <v>0</v>
      </c>
      <c r="M21" s="3" t="s">
        <v>8</v>
      </c>
    </row>
    <row r="22" spans="1:13" x14ac:dyDescent="0.25">
      <c r="A22" s="3">
        <v>2014</v>
      </c>
      <c r="B22" s="3" t="s">
        <v>41</v>
      </c>
      <c r="C22" s="3">
        <v>9</v>
      </c>
      <c r="D22" s="4" t="s">
        <v>42</v>
      </c>
      <c r="E22" s="11" t="s">
        <v>15</v>
      </c>
      <c r="F22" s="11"/>
      <c r="G22" s="11" t="s">
        <v>22</v>
      </c>
      <c r="H22" s="11"/>
      <c r="I22" s="5" t="str">
        <f t="shared" si="0"/>
        <v>Štefko</v>
      </c>
      <c r="J22" s="6" t="str">
        <f t="shared" si="1"/>
        <v>Tarnóczy</v>
      </c>
      <c r="K22" s="7">
        <f t="shared" si="2"/>
        <v>0</v>
      </c>
      <c r="L22" s="7">
        <f t="shared" si="3"/>
        <v>1</v>
      </c>
      <c r="M22" s="3" t="s">
        <v>9</v>
      </c>
    </row>
    <row r="23" spans="1:13" x14ac:dyDescent="0.25">
      <c r="A23" s="3">
        <v>2014</v>
      </c>
      <c r="B23" s="3" t="s">
        <v>41</v>
      </c>
      <c r="C23" s="3">
        <v>10</v>
      </c>
      <c r="D23" s="4" t="s">
        <v>42</v>
      </c>
      <c r="E23" s="11" t="s">
        <v>28</v>
      </c>
      <c r="F23" s="11"/>
      <c r="G23" s="11" t="s">
        <v>27</v>
      </c>
      <c r="H23" s="11"/>
      <c r="I23" s="5" t="str">
        <f t="shared" si="0"/>
        <v>Stanček</v>
      </c>
      <c r="J23" s="6" t="str">
        <f t="shared" si="1"/>
        <v>Ryba</v>
      </c>
      <c r="K23" s="7">
        <f t="shared" si="2"/>
        <v>1</v>
      </c>
      <c r="L23" s="7">
        <f t="shared" si="3"/>
        <v>0</v>
      </c>
      <c r="M23" s="3" t="s">
        <v>8</v>
      </c>
    </row>
    <row r="24" spans="1:13" x14ac:dyDescent="0.25">
      <c r="A24" s="3">
        <v>2014</v>
      </c>
      <c r="B24" s="3" t="s">
        <v>41</v>
      </c>
      <c r="C24" s="3">
        <v>11</v>
      </c>
      <c r="D24" s="4" t="s">
        <v>42</v>
      </c>
      <c r="E24" s="11" t="s">
        <v>25</v>
      </c>
      <c r="F24" s="11"/>
      <c r="G24" s="11" t="s">
        <v>26</v>
      </c>
      <c r="H24" s="11"/>
      <c r="I24" s="5" t="str">
        <f t="shared" si="0"/>
        <v>Schin</v>
      </c>
      <c r="J24" s="6" t="str">
        <f t="shared" si="1"/>
        <v>Sill</v>
      </c>
      <c r="K24" s="7">
        <f t="shared" si="2"/>
        <v>0</v>
      </c>
      <c r="L24" s="7">
        <f t="shared" si="3"/>
        <v>1</v>
      </c>
      <c r="M24" s="3" t="s">
        <v>9</v>
      </c>
    </row>
    <row r="25" spans="1:13" x14ac:dyDescent="0.25">
      <c r="A25" s="3">
        <v>2015</v>
      </c>
      <c r="B25" s="3" t="s">
        <v>13</v>
      </c>
      <c r="C25" s="3">
        <v>1</v>
      </c>
      <c r="D25" s="4" t="s">
        <v>14</v>
      </c>
      <c r="E25" s="11" t="s">
        <v>15</v>
      </c>
      <c r="F25" s="11" t="s">
        <v>43</v>
      </c>
      <c r="G25" s="11" t="s">
        <v>44</v>
      </c>
      <c r="H25" s="11" t="s">
        <v>34</v>
      </c>
      <c r="I25" s="5" t="str">
        <f t="shared" si="0"/>
        <v>Štefko, Wieger</v>
      </c>
      <c r="J25" s="6" t="str">
        <f t="shared" si="1"/>
        <v>Pinter, Varga</v>
      </c>
      <c r="K25" s="7">
        <f t="shared" si="2"/>
        <v>1</v>
      </c>
      <c r="L25" s="7">
        <f t="shared" si="3"/>
        <v>0</v>
      </c>
      <c r="M25" s="3" t="s">
        <v>8</v>
      </c>
    </row>
    <row r="26" spans="1:13" x14ac:dyDescent="0.25">
      <c r="A26" s="3">
        <v>2015</v>
      </c>
      <c r="B26" s="3" t="s">
        <v>13</v>
      </c>
      <c r="C26" s="3">
        <v>2</v>
      </c>
      <c r="D26" s="4" t="s">
        <v>14</v>
      </c>
      <c r="E26" s="11" t="s">
        <v>45</v>
      </c>
      <c r="F26" s="11" t="s">
        <v>28</v>
      </c>
      <c r="G26" s="11" t="s">
        <v>27</v>
      </c>
      <c r="H26" s="11" t="s">
        <v>38</v>
      </c>
      <c r="I26" s="5" t="str">
        <f t="shared" si="0"/>
        <v>Farkašovský, Stanček</v>
      </c>
      <c r="J26" s="6" t="str">
        <f t="shared" si="1"/>
        <v>Ryba, Segéň</v>
      </c>
      <c r="K26" s="7">
        <f t="shared" si="2"/>
        <v>0</v>
      </c>
      <c r="L26" s="7">
        <f t="shared" si="3"/>
        <v>1</v>
      </c>
      <c r="M26" s="3" t="s">
        <v>9</v>
      </c>
    </row>
    <row r="27" spans="1:13" x14ac:dyDescent="0.25">
      <c r="A27" s="3">
        <v>2015</v>
      </c>
      <c r="B27" s="3" t="s">
        <v>13</v>
      </c>
      <c r="C27" s="3">
        <v>3</v>
      </c>
      <c r="D27" s="4" t="s">
        <v>14</v>
      </c>
      <c r="E27" s="11" t="s">
        <v>24</v>
      </c>
      <c r="F27" s="11" t="s">
        <v>25</v>
      </c>
      <c r="G27" s="11" t="s">
        <v>17</v>
      </c>
      <c r="H27" s="11" t="s">
        <v>46</v>
      </c>
      <c r="I27" s="5" t="str">
        <f t="shared" si="0"/>
        <v>Ličko, Schin</v>
      </c>
      <c r="J27" s="6" t="str">
        <f t="shared" si="1"/>
        <v>Baláž, Bielik</v>
      </c>
      <c r="K27" s="7">
        <f t="shared" si="2"/>
        <v>0</v>
      </c>
      <c r="L27" s="7">
        <f t="shared" si="3"/>
        <v>1</v>
      </c>
      <c r="M27" s="3" t="s">
        <v>9</v>
      </c>
    </row>
    <row r="28" spans="1:13" x14ac:dyDescent="0.25">
      <c r="A28" s="3">
        <v>2015</v>
      </c>
      <c r="B28" s="3" t="s">
        <v>13</v>
      </c>
      <c r="C28" s="3">
        <v>4</v>
      </c>
      <c r="D28" s="4" t="s">
        <v>14</v>
      </c>
      <c r="E28" s="11" t="s">
        <v>16</v>
      </c>
      <c r="F28" s="11" t="s">
        <v>19</v>
      </c>
      <c r="G28" s="11" t="s">
        <v>21</v>
      </c>
      <c r="H28" s="11" t="s">
        <v>47</v>
      </c>
      <c r="I28" s="5" t="str">
        <f t="shared" si="0"/>
        <v>Novák, Segéň</v>
      </c>
      <c r="J28" s="6" t="str">
        <f t="shared" si="1"/>
        <v>Nagy, Smatana</v>
      </c>
      <c r="K28" s="7">
        <f t="shared" si="2"/>
        <v>0</v>
      </c>
      <c r="L28" s="7">
        <f t="shared" si="3"/>
        <v>1</v>
      </c>
      <c r="M28" s="3" t="s">
        <v>9</v>
      </c>
    </row>
    <row r="29" spans="1:13" x14ac:dyDescent="0.25">
      <c r="A29" s="3">
        <v>2015</v>
      </c>
      <c r="B29" s="3" t="s">
        <v>13</v>
      </c>
      <c r="C29" s="3">
        <v>5</v>
      </c>
      <c r="D29" s="4" t="s">
        <v>40</v>
      </c>
      <c r="E29" s="11" t="s">
        <v>32</v>
      </c>
      <c r="F29" s="11" t="s">
        <v>43</v>
      </c>
      <c r="G29" s="11" t="s">
        <v>44</v>
      </c>
      <c r="H29" s="11" t="s">
        <v>27</v>
      </c>
      <c r="I29" s="5" t="str">
        <f t="shared" si="0"/>
        <v>Kolesár, Wieger</v>
      </c>
      <c r="J29" s="6" t="str">
        <f t="shared" si="1"/>
        <v>Pinter, Ryba</v>
      </c>
      <c r="K29" s="7">
        <f t="shared" si="2"/>
        <v>0</v>
      </c>
      <c r="L29" s="7">
        <f t="shared" si="3"/>
        <v>1</v>
      </c>
      <c r="M29" s="3" t="s">
        <v>9</v>
      </c>
    </row>
    <row r="30" spans="1:13" x14ac:dyDescent="0.25">
      <c r="A30" s="3">
        <v>2015</v>
      </c>
      <c r="B30" s="3" t="s">
        <v>13</v>
      </c>
      <c r="C30" s="3">
        <v>6</v>
      </c>
      <c r="D30" s="4" t="s">
        <v>40</v>
      </c>
      <c r="E30" s="11" t="s">
        <v>33</v>
      </c>
      <c r="F30" s="11" t="s">
        <v>28</v>
      </c>
      <c r="G30" s="11" t="s">
        <v>26</v>
      </c>
      <c r="H30" s="11" t="s">
        <v>22</v>
      </c>
      <c r="I30" s="5" t="str">
        <f t="shared" si="0"/>
        <v>Belan, Stanček</v>
      </c>
      <c r="J30" s="6" t="str">
        <f t="shared" si="1"/>
        <v>Sill, Tarnóczy</v>
      </c>
      <c r="K30" s="7">
        <f t="shared" si="2"/>
        <v>1</v>
      </c>
      <c r="L30" s="7">
        <f t="shared" si="3"/>
        <v>0</v>
      </c>
      <c r="M30" s="3" t="s">
        <v>8</v>
      </c>
    </row>
    <row r="31" spans="1:13" x14ac:dyDescent="0.25">
      <c r="A31" s="3">
        <v>2015</v>
      </c>
      <c r="B31" s="3" t="s">
        <v>13</v>
      </c>
      <c r="C31" s="3">
        <v>7</v>
      </c>
      <c r="D31" s="4" t="s">
        <v>40</v>
      </c>
      <c r="E31" s="11" t="s">
        <v>16</v>
      </c>
      <c r="F31" s="11" t="s">
        <v>25</v>
      </c>
      <c r="G31" s="11" t="s">
        <v>46</v>
      </c>
      <c r="H31" s="11" t="s">
        <v>39</v>
      </c>
      <c r="I31" s="5" t="str">
        <f t="shared" si="0"/>
        <v>Novák, Schin</v>
      </c>
      <c r="J31" s="6" t="str">
        <f t="shared" si="1"/>
        <v>Bielik, Gabura</v>
      </c>
      <c r="K31" s="7">
        <f t="shared" si="2"/>
        <v>1</v>
      </c>
      <c r="L31" s="7">
        <f t="shared" si="3"/>
        <v>0</v>
      </c>
      <c r="M31" s="3" t="s">
        <v>8</v>
      </c>
    </row>
    <row r="32" spans="1:13" x14ac:dyDescent="0.25">
      <c r="A32" s="3">
        <v>2015</v>
      </c>
      <c r="B32" s="3" t="s">
        <v>13</v>
      </c>
      <c r="C32" s="3">
        <v>8</v>
      </c>
      <c r="D32" s="4" t="s">
        <v>40</v>
      </c>
      <c r="E32" s="11" t="s">
        <v>36</v>
      </c>
      <c r="F32" s="11" t="s">
        <v>19</v>
      </c>
      <c r="G32" s="11" t="s">
        <v>21</v>
      </c>
      <c r="H32" s="11" t="s">
        <v>38</v>
      </c>
      <c r="I32" s="5" t="str">
        <f t="shared" si="0"/>
        <v>Kafka, Segéň</v>
      </c>
      <c r="J32" s="6" t="str">
        <f t="shared" si="1"/>
        <v>Nagy, Segéň</v>
      </c>
      <c r="K32" s="7">
        <f t="shared" si="2"/>
        <v>1</v>
      </c>
      <c r="L32" s="7">
        <f t="shared" si="3"/>
        <v>0</v>
      </c>
      <c r="M32" s="3" t="s">
        <v>8</v>
      </c>
    </row>
    <row r="33" spans="1:13" x14ac:dyDescent="0.25">
      <c r="A33" s="3">
        <v>2015</v>
      </c>
      <c r="B33" s="3" t="s">
        <v>41</v>
      </c>
      <c r="C33" s="3">
        <v>1</v>
      </c>
      <c r="D33" s="4" t="s">
        <v>14</v>
      </c>
      <c r="E33" s="11" t="s">
        <v>45</v>
      </c>
      <c r="F33" s="11" t="s">
        <v>19</v>
      </c>
      <c r="G33" s="11" t="s">
        <v>46</v>
      </c>
      <c r="H33" s="11" t="s">
        <v>27</v>
      </c>
      <c r="I33" s="5" t="str">
        <f t="shared" si="0"/>
        <v>Farkašovský, Segéň</v>
      </c>
      <c r="J33" s="6" t="str">
        <f t="shared" si="1"/>
        <v>Bielik, Ryba</v>
      </c>
      <c r="K33" s="7">
        <f t="shared" si="2"/>
        <v>0</v>
      </c>
      <c r="L33" s="7">
        <f t="shared" si="3"/>
        <v>1</v>
      </c>
      <c r="M33" s="3" t="s">
        <v>9</v>
      </c>
    </row>
    <row r="34" spans="1:13" x14ac:dyDescent="0.25">
      <c r="A34" s="3">
        <v>2015</v>
      </c>
      <c r="B34" s="3" t="s">
        <v>41</v>
      </c>
      <c r="C34" s="3">
        <v>2</v>
      </c>
      <c r="D34" s="4" t="s">
        <v>14</v>
      </c>
      <c r="E34" s="11" t="s">
        <v>33</v>
      </c>
      <c r="F34" s="11" t="s">
        <v>25</v>
      </c>
      <c r="G34" s="11" t="s">
        <v>17</v>
      </c>
      <c r="H34" s="11" t="s">
        <v>38</v>
      </c>
      <c r="I34" s="5" t="str">
        <f t="shared" si="0"/>
        <v>Belan, Schin</v>
      </c>
      <c r="J34" s="6" t="str">
        <f t="shared" si="1"/>
        <v>Baláž, Segéň</v>
      </c>
      <c r="K34" s="7">
        <f t="shared" si="2"/>
        <v>0.5</v>
      </c>
      <c r="L34" s="7">
        <f t="shared" si="3"/>
        <v>0.5</v>
      </c>
      <c r="M34" s="3" t="s">
        <v>23</v>
      </c>
    </row>
    <row r="35" spans="1:13" x14ac:dyDescent="0.25">
      <c r="A35" s="3">
        <v>2015</v>
      </c>
      <c r="B35" s="3" t="s">
        <v>41</v>
      </c>
      <c r="C35" s="3">
        <v>3</v>
      </c>
      <c r="D35" s="4" t="s">
        <v>14</v>
      </c>
      <c r="E35" s="11" t="s">
        <v>16</v>
      </c>
      <c r="F35" s="11" t="s">
        <v>28</v>
      </c>
      <c r="G35" s="11" t="s">
        <v>21</v>
      </c>
      <c r="H35" s="11" t="s">
        <v>47</v>
      </c>
      <c r="I35" s="5" t="str">
        <f t="shared" si="0"/>
        <v>Novák, Stanček</v>
      </c>
      <c r="J35" s="6" t="str">
        <f t="shared" si="1"/>
        <v>Nagy, Smatana</v>
      </c>
      <c r="K35" s="7">
        <f t="shared" si="2"/>
        <v>0.5</v>
      </c>
      <c r="L35" s="7">
        <f t="shared" si="3"/>
        <v>0.5</v>
      </c>
      <c r="M35" s="3" t="s">
        <v>23</v>
      </c>
    </row>
    <row r="36" spans="1:13" x14ac:dyDescent="0.25">
      <c r="A36" s="3">
        <v>2015</v>
      </c>
      <c r="B36" s="3" t="s">
        <v>41</v>
      </c>
      <c r="C36" s="3">
        <v>4</v>
      </c>
      <c r="D36" s="4" t="s">
        <v>14</v>
      </c>
      <c r="E36" s="11" t="s">
        <v>24</v>
      </c>
      <c r="F36" s="11" t="s">
        <v>43</v>
      </c>
      <c r="G36" s="11" t="s">
        <v>44</v>
      </c>
      <c r="H36" s="11" t="s">
        <v>34</v>
      </c>
      <c r="I36" s="5" t="str">
        <f t="shared" si="0"/>
        <v>Ličko, Wieger</v>
      </c>
      <c r="J36" s="6" t="str">
        <f t="shared" si="1"/>
        <v>Pinter, Varga</v>
      </c>
      <c r="K36" s="7">
        <f t="shared" si="2"/>
        <v>1</v>
      </c>
      <c r="L36" s="7">
        <f t="shared" si="3"/>
        <v>0</v>
      </c>
      <c r="M36" s="3" t="s">
        <v>8</v>
      </c>
    </row>
    <row r="37" spans="1:13" x14ac:dyDescent="0.25">
      <c r="A37" s="3">
        <v>2015</v>
      </c>
      <c r="B37" s="3" t="s">
        <v>41</v>
      </c>
      <c r="C37" s="3">
        <v>5</v>
      </c>
      <c r="D37" s="4" t="s">
        <v>40</v>
      </c>
      <c r="E37" s="11" t="s">
        <v>36</v>
      </c>
      <c r="F37" s="11" t="s">
        <v>32</v>
      </c>
      <c r="G37" s="11" t="s">
        <v>17</v>
      </c>
      <c r="H37" s="11" t="s">
        <v>46</v>
      </c>
      <c r="I37" s="5" t="str">
        <f t="shared" si="0"/>
        <v>Kafka, Kolesár</v>
      </c>
      <c r="J37" s="6" t="str">
        <f t="shared" si="1"/>
        <v>Baláž, Bielik</v>
      </c>
      <c r="K37" s="7">
        <f t="shared" si="2"/>
        <v>0.5</v>
      </c>
      <c r="L37" s="7">
        <f t="shared" si="3"/>
        <v>0.5</v>
      </c>
      <c r="M37" s="3" t="s">
        <v>23</v>
      </c>
    </row>
    <row r="38" spans="1:13" x14ac:dyDescent="0.25">
      <c r="A38" s="3">
        <v>2015</v>
      </c>
      <c r="B38" s="3" t="s">
        <v>41</v>
      </c>
      <c r="C38" s="3">
        <v>6</v>
      </c>
      <c r="D38" s="4" t="s">
        <v>40</v>
      </c>
      <c r="E38" s="11" t="s">
        <v>19</v>
      </c>
      <c r="F38" s="11" t="s">
        <v>15</v>
      </c>
      <c r="G38" s="11" t="s">
        <v>21</v>
      </c>
      <c r="H38" s="11" t="s">
        <v>26</v>
      </c>
      <c r="I38" s="5" t="str">
        <f t="shared" si="0"/>
        <v>Segéň, Štefko</v>
      </c>
      <c r="J38" s="6" t="str">
        <f t="shared" si="1"/>
        <v>Nagy, Sill</v>
      </c>
      <c r="K38" s="7">
        <f t="shared" si="2"/>
        <v>1</v>
      </c>
      <c r="L38" s="7">
        <f t="shared" si="3"/>
        <v>0</v>
      </c>
      <c r="M38" s="3" t="s">
        <v>8</v>
      </c>
    </row>
    <row r="39" spans="1:13" x14ac:dyDescent="0.25">
      <c r="A39" s="3">
        <v>2015</v>
      </c>
      <c r="B39" s="3" t="s">
        <v>41</v>
      </c>
      <c r="C39" s="3">
        <v>7</v>
      </c>
      <c r="D39" s="4" t="s">
        <v>40</v>
      </c>
      <c r="E39" s="11" t="s">
        <v>24</v>
      </c>
      <c r="F39" s="11" t="s">
        <v>28</v>
      </c>
      <c r="G39" s="11" t="s">
        <v>22</v>
      </c>
      <c r="H39" s="11" t="s">
        <v>34</v>
      </c>
      <c r="I39" s="5" t="str">
        <f t="shared" si="0"/>
        <v>Ličko, Stanček</v>
      </c>
      <c r="J39" s="6" t="str">
        <f t="shared" si="1"/>
        <v>Tarnóczy, Varga</v>
      </c>
      <c r="K39" s="7">
        <f t="shared" si="2"/>
        <v>1</v>
      </c>
      <c r="L39" s="7">
        <f t="shared" si="3"/>
        <v>0</v>
      </c>
      <c r="M39" s="3" t="s">
        <v>8</v>
      </c>
    </row>
    <row r="40" spans="1:13" x14ac:dyDescent="0.25">
      <c r="A40" s="3">
        <v>2015</v>
      </c>
      <c r="B40" s="3" t="s">
        <v>41</v>
      </c>
      <c r="C40" s="3">
        <v>8</v>
      </c>
      <c r="D40" s="4" t="s">
        <v>40</v>
      </c>
      <c r="E40" s="11" t="s">
        <v>33</v>
      </c>
      <c r="F40" s="11" t="s">
        <v>45</v>
      </c>
      <c r="G40" s="11" t="s">
        <v>39</v>
      </c>
      <c r="H40" s="11" t="s">
        <v>44</v>
      </c>
      <c r="I40" s="5" t="str">
        <f t="shared" si="0"/>
        <v>Belan, Farkašovský</v>
      </c>
      <c r="J40" s="6" t="str">
        <f t="shared" si="1"/>
        <v>Gabura, Pinter</v>
      </c>
      <c r="K40" s="7">
        <f t="shared" si="2"/>
        <v>0</v>
      </c>
      <c r="L40" s="7">
        <f t="shared" si="3"/>
        <v>1</v>
      </c>
      <c r="M40" s="3" t="s">
        <v>9</v>
      </c>
    </row>
    <row r="41" spans="1:13" x14ac:dyDescent="0.25">
      <c r="A41" s="3">
        <v>2015</v>
      </c>
      <c r="B41" s="3" t="s">
        <v>48</v>
      </c>
      <c r="C41" s="3">
        <v>1</v>
      </c>
      <c r="D41" s="4" t="s">
        <v>42</v>
      </c>
      <c r="E41" s="11" t="s">
        <v>24</v>
      </c>
      <c r="F41" s="11"/>
      <c r="G41" s="11" t="s">
        <v>21</v>
      </c>
      <c r="H41" s="11"/>
      <c r="I41" s="5" t="str">
        <f t="shared" si="0"/>
        <v>Ličko</v>
      </c>
      <c r="J41" s="6" t="str">
        <f t="shared" si="1"/>
        <v>Nagy</v>
      </c>
      <c r="K41" s="7">
        <f t="shared" si="2"/>
        <v>1</v>
      </c>
      <c r="L41" s="7">
        <f t="shared" si="3"/>
        <v>0</v>
      </c>
      <c r="M41" s="3" t="s">
        <v>8</v>
      </c>
    </row>
    <row r="42" spans="1:13" x14ac:dyDescent="0.25">
      <c r="A42" s="3">
        <v>2015</v>
      </c>
      <c r="B42" s="3" t="s">
        <v>48</v>
      </c>
      <c r="C42" s="3">
        <v>2</v>
      </c>
      <c r="D42" s="4" t="s">
        <v>42</v>
      </c>
      <c r="E42" s="11" t="s">
        <v>19</v>
      </c>
      <c r="F42" s="11"/>
      <c r="G42" s="11" t="s">
        <v>22</v>
      </c>
      <c r="H42" s="11"/>
      <c r="I42" s="5" t="str">
        <f t="shared" si="0"/>
        <v>Segéň</v>
      </c>
      <c r="J42" s="6" t="str">
        <f t="shared" si="1"/>
        <v>Tarnóczy</v>
      </c>
      <c r="K42" s="7">
        <f t="shared" si="2"/>
        <v>1</v>
      </c>
      <c r="L42" s="7">
        <f t="shared" si="3"/>
        <v>0</v>
      </c>
      <c r="M42" s="3" t="s">
        <v>8</v>
      </c>
    </row>
    <row r="43" spans="1:13" x14ac:dyDescent="0.25">
      <c r="A43" s="3">
        <v>2015</v>
      </c>
      <c r="B43" s="3" t="s">
        <v>48</v>
      </c>
      <c r="C43" s="3">
        <v>3</v>
      </c>
      <c r="D43" s="4" t="s">
        <v>42</v>
      </c>
      <c r="E43" s="11" t="s">
        <v>33</v>
      </c>
      <c r="F43" s="11"/>
      <c r="G43" s="11" t="s">
        <v>26</v>
      </c>
      <c r="H43" s="11"/>
      <c r="I43" s="5" t="str">
        <f t="shared" si="0"/>
        <v>Belan</v>
      </c>
      <c r="J43" s="6" t="str">
        <f t="shared" si="1"/>
        <v>Sill</v>
      </c>
      <c r="K43" s="7">
        <f t="shared" si="2"/>
        <v>1</v>
      </c>
      <c r="L43" s="7">
        <f t="shared" si="3"/>
        <v>0</v>
      </c>
      <c r="M43" s="3" t="s">
        <v>8</v>
      </c>
    </row>
    <row r="44" spans="1:13" x14ac:dyDescent="0.25">
      <c r="A44" s="3">
        <v>2015</v>
      </c>
      <c r="B44" s="3" t="s">
        <v>48</v>
      </c>
      <c r="C44" s="3">
        <v>4</v>
      </c>
      <c r="D44" s="4" t="s">
        <v>42</v>
      </c>
      <c r="E44" s="11" t="s">
        <v>45</v>
      </c>
      <c r="F44" s="11"/>
      <c r="G44" s="11" t="s">
        <v>27</v>
      </c>
      <c r="H44" s="11"/>
      <c r="I44" s="5" t="str">
        <f t="shared" si="0"/>
        <v>Farkašovský</v>
      </c>
      <c r="J44" s="6" t="str">
        <f t="shared" si="1"/>
        <v>Ryba</v>
      </c>
      <c r="K44" s="7">
        <f t="shared" si="2"/>
        <v>1</v>
      </c>
      <c r="L44" s="7">
        <f t="shared" si="3"/>
        <v>0</v>
      </c>
      <c r="M44" s="3" t="s">
        <v>8</v>
      </c>
    </row>
    <row r="45" spans="1:13" x14ac:dyDescent="0.25">
      <c r="A45" s="3">
        <v>2015</v>
      </c>
      <c r="B45" s="3" t="s">
        <v>48</v>
      </c>
      <c r="C45" s="3">
        <v>5</v>
      </c>
      <c r="D45" s="4" t="s">
        <v>42</v>
      </c>
      <c r="E45" s="11" t="s">
        <v>28</v>
      </c>
      <c r="F45" s="11"/>
      <c r="G45" s="11" t="s">
        <v>17</v>
      </c>
      <c r="H45" s="11"/>
      <c r="I45" s="5" t="str">
        <f t="shared" si="0"/>
        <v>Stanček</v>
      </c>
      <c r="J45" s="6" t="str">
        <f t="shared" si="1"/>
        <v>Baláž</v>
      </c>
      <c r="K45" s="7">
        <f t="shared" si="2"/>
        <v>1</v>
      </c>
      <c r="L45" s="7">
        <f t="shared" si="3"/>
        <v>0</v>
      </c>
      <c r="M45" s="3" t="s">
        <v>8</v>
      </c>
    </row>
    <row r="46" spans="1:13" x14ac:dyDescent="0.25">
      <c r="A46" s="3">
        <v>2015</v>
      </c>
      <c r="B46" s="3" t="s">
        <v>48</v>
      </c>
      <c r="C46" s="3">
        <v>6</v>
      </c>
      <c r="D46" s="4" t="s">
        <v>42</v>
      </c>
      <c r="E46" s="11" t="s">
        <v>15</v>
      </c>
      <c r="F46" s="11"/>
      <c r="G46" s="11" t="s">
        <v>46</v>
      </c>
      <c r="H46" s="11"/>
      <c r="I46" s="5" t="str">
        <f t="shared" si="0"/>
        <v>Štefko</v>
      </c>
      <c r="J46" s="6" t="str">
        <f t="shared" si="1"/>
        <v>Bielik</v>
      </c>
      <c r="K46" s="7">
        <f t="shared" si="2"/>
        <v>0</v>
      </c>
      <c r="L46" s="7">
        <f t="shared" si="3"/>
        <v>1</v>
      </c>
      <c r="M46" s="3" t="s">
        <v>9</v>
      </c>
    </row>
    <row r="47" spans="1:13" x14ac:dyDescent="0.25">
      <c r="A47" s="3">
        <v>2015</v>
      </c>
      <c r="B47" s="3" t="s">
        <v>48</v>
      </c>
      <c r="C47" s="3">
        <v>7</v>
      </c>
      <c r="D47" s="4" t="s">
        <v>42</v>
      </c>
      <c r="E47" s="11" t="s">
        <v>43</v>
      </c>
      <c r="F47" s="11"/>
      <c r="G47" s="11" t="s">
        <v>38</v>
      </c>
      <c r="H47" s="11"/>
      <c r="I47" s="5" t="str">
        <f t="shared" si="0"/>
        <v>Wieger</v>
      </c>
      <c r="J47" s="6" t="str">
        <f t="shared" si="1"/>
        <v>Segéň</v>
      </c>
      <c r="K47" s="7">
        <f t="shared" si="2"/>
        <v>0.5</v>
      </c>
      <c r="L47" s="7">
        <f t="shared" si="3"/>
        <v>0.5</v>
      </c>
      <c r="M47" s="3" t="s">
        <v>23</v>
      </c>
    </row>
    <row r="48" spans="1:13" x14ac:dyDescent="0.25">
      <c r="A48" s="3">
        <v>2015</v>
      </c>
      <c r="B48" s="3" t="s">
        <v>48</v>
      </c>
      <c r="C48" s="3">
        <v>8</v>
      </c>
      <c r="D48" s="4" t="s">
        <v>42</v>
      </c>
      <c r="E48" s="11" t="s">
        <v>25</v>
      </c>
      <c r="F48" s="11"/>
      <c r="G48" s="11" t="s">
        <v>39</v>
      </c>
      <c r="H48" s="11"/>
      <c r="I48" s="5" t="str">
        <f t="shared" si="0"/>
        <v>Schin</v>
      </c>
      <c r="J48" s="6" t="str">
        <f t="shared" si="1"/>
        <v>Gabura</v>
      </c>
      <c r="K48" s="7">
        <f t="shared" si="2"/>
        <v>1</v>
      </c>
      <c r="L48" s="7">
        <f t="shared" si="3"/>
        <v>0</v>
      </c>
      <c r="M48" s="3" t="s">
        <v>8</v>
      </c>
    </row>
    <row r="49" spans="1:13" x14ac:dyDescent="0.25">
      <c r="A49" s="3">
        <v>2015</v>
      </c>
      <c r="B49" s="3" t="s">
        <v>48</v>
      </c>
      <c r="C49" s="3">
        <v>9</v>
      </c>
      <c r="D49" s="4" t="s">
        <v>42</v>
      </c>
      <c r="E49" s="11" t="s">
        <v>36</v>
      </c>
      <c r="F49" s="11"/>
      <c r="G49" s="11" t="s">
        <v>34</v>
      </c>
      <c r="H49" s="11"/>
      <c r="I49" s="5" t="str">
        <f t="shared" si="0"/>
        <v>Kafka</v>
      </c>
      <c r="J49" s="6" t="str">
        <f t="shared" si="1"/>
        <v>Varga</v>
      </c>
      <c r="K49" s="7">
        <f t="shared" si="2"/>
        <v>0</v>
      </c>
      <c r="L49" s="7">
        <f t="shared" si="3"/>
        <v>1</v>
      </c>
      <c r="M49" s="3" t="s">
        <v>9</v>
      </c>
    </row>
    <row r="50" spans="1:13" x14ac:dyDescent="0.25">
      <c r="A50" s="3">
        <v>2015</v>
      </c>
      <c r="B50" s="3" t="s">
        <v>48</v>
      </c>
      <c r="C50" s="3">
        <v>10</v>
      </c>
      <c r="D50" s="4" t="s">
        <v>42</v>
      </c>
      <c r="E50" s="11" t="s">
        <v>16</v>
      </c>
      <c r="F50" s="11"/>
      <c r="G50" s="11" t="s">
        <v>44</v>
      </c>
      <c r="H50" s="11"/>
      <c r="I50" s="5" t="str">
        <f t="shared" si="0"/>
        <v>Novák</v>
      </c>
      <c r="J50" s="6" t="str">
        <f t="shared" si="1"/>
        <v>Pinter</v>
      </c>
      <c r="K50" s="7">
        <f t="shared" si="2"/>
        <v>0</v>
      </c>
      <c r="L50" s="7">
        <f t="shared" si="3"/>
        <v>1</v>
      </c>
      <c r="M50" s="3" t="s">
        <v>9</v>
      </c>
    </row>
    <row r="51" spans="1:13" x14ac:dyDescent="0.25">
      <c r="A51" s="3">
        <v>2015</v>
      </c>
      <c r="B51" s="3" t="s">
        <v>48</v>
      </c>
      <c r="C51" s="3">
        <v>11</v>
      </c>
      <c r="D51" s="4" t="s">
        <v>42</v>
      </c>
      <c r="E51" s="11" t="s">
        <v>32</v>
      </c>
      <c r="F51" s="11"/>
      <c r="G51" s="11" t="s">
        <v>47</v>
      </c>
      <c r="H51" s="11"/>
      <c r="I51" s="5" t="str">
        <f t="shared" si="0"/>
        <v>Kolesár</v>
      </c>
      <c r="J51" s="6" t="str">
        <f t="shared" si="1"/>
        <v>Smatana</v>
      </c>
      <c r="K51" s="7">
        <f t="shared" si="2"/>
        <v>0</v>
      </c>
      <c r="L51" s="7">
        <f t="shared" si="3"/>
        <v>1</v>
      </c>
      <c r="M51" s="3" t="s">
        <v>9</v>
      </c>
    </row>
    <row r="52" spans="1:13" x14ac:dyDescent="0.25">
      <c r="A52" s="3">
        <v>2015</v>
      </c>
      <c r="B52" s="3" t="s">
        <v>48</v>
      </c>
      <c r="C52" s="3">
        <v>12</v>
      </c>
      <c r="D52" s="4" t="s">
        <v>42</v>
      </c>
      <c r="E52" s="11" t="s">
        <v>37</v>
      </c>
      <c r="F52" s="11"/>
      <c r="G52" s="11" t="s">
        <v>18</v>
      </c>
      <c r="H52" s="11"/>
      <c r="I52" s="5" t="str">
        <f t="shared" si="0"/>
        <v>Just</v>
      </c>
      <c r="J52" s="6" t="str">
        <f t="shared" si="1"/>
        <v>Vališ</v>
      </c>
      <c r="K52" s="7">
        <f t="shared" si="2"/>
        <v>0.5</v>
      </c>
      <c r="L52" s="7">
        <f t="shared" si="3"/>
        <v>0.5</v>
      </c>
      <c r="M52" s="3" t="s">
        <v>23</v>
      </c>
    </row>
    <row r="53" spans="1:13" x14ac:dyDescent="0.25">
      <c r="A53" s="3">
        <v>2016</v>
      </c>
      <c r="B53" s="3" t="s">
        <v>13</v>
      </c>
      <c r="C53" s="3">
        <v>1</v>
      </c>
      <c r="D53" s="4" t="s">
        <v>14</v>
      </c>
      <c r="E53" s="11" t="s">
        <v>45</v>
      </c>
      <c r="F53" s="11" t="s">
        <v>16</v>
      </c>
      <c r="G53" s="11" t="s">
        <v>49</v>
      </c>
      <c r="H53" s="11" t="s">
        <v>50</v>
      </c>
      <c r="I53" s="5" t="str">
        <f t="shared" si="0"/>
        <v>Farkašovský, Novák</v>
      </c>
      <c r="J53" s="6" t="str">
        <f t="shared" si="1"/>
        <v>Beňo, Polák</v>
      </c>
      <c r="K53" s="7">
        <f t="shared" si="2"/>
        <v>0</v>
      </c>
      <c r="L53" s="7">
        <f t="shared" si="3"/>
        <v>1</v>
      </c>
      <c r="M53" s="3" t="s">
        <v>9</v>
      </c>
    </row>
    <row r="54" spans="1:13" x14ac:dyDescent="0.25">
      <c r="A54" s="3">
        <v>2016</v>
      </c>
      <c r="B54" s="3" t="s">
        <v>13</v>
      </c>
      <c r="C54" s="3">
        <v>2</v>
      </c>
      <c r="D54" s="4" t="s">
        <v>14</v>
      </c>
      <c r="E54" s="11" t="s">
        <v>37</v>
      </c>
      <c r="F54" s="11" t="s">
        <v>19</v>
      </c>
      <c r="G54" s="11" t="s">
        <v>46</v>
      </c>
      <c r="H54" s="11" t="s">
        <v>51</v>
      </c>
      <c r="I54" s="5" t="str">
        <f t="shared" si="0"/>
        <v>Just, Segéň</v>
      </c>
      <c r="J54" s="6" t="str">
        <f t="shared" si="1"/>
        <v>Bielik, Kráľ</v>
      </c>
      <c r="K54" s="7">
        <f t="shared" si="2"/>
        <v>0</v>
      </c>
      <c r="L54" s="7">
        <f t="shared" si="3"/>
        <v>1</v>
      </c>
      <c r="M54" s="3" t="s">
        <v>9</v>
      </c>
    </row>
    <row r="55" spans="1:13" x14ac:dyDescent="0.25">
      <c r="A55" s="3">
        <v>2016</v>
      </c>
      <c r="B55" s="3" t="s">
        <v>13</v>
      </c>
      <c r="C55" s="3">
        <v>3</v>
      </c>
      <c r="D55" s="4" t="s">
        <v>14</v>
      </c>
      <c r="E55" s="11" t="s">
        <v>36</v>
      </c>
      <c r="F55" s="11" t="s">
        <v>28</v>
      </c>
      <c r="G55" s="11" t="s">
        <v>38</v>
      </c>
      <c r="H55" s="11" t="s">
        <v>26</v>
      </c>
      <c r="I55" s="5" t="str">
        <f t="shared" si="0"/>
        <v>Kafka, Stanček</v>
      </c>
      <c r="J55" s="6" t="str">
        <f t="shared" si="1"/>
        <v>Segéň, Sill</v>
      </c>
      <c r="K55" s="7">
        <f t="shared" si="2"/>
        <v>0.5</v>
      </c>
      <c r="L55" s="7">
        <f t="shared" si="3"/>
        <v>0.5</v>
      </c>
      <c r="M55" s="3" t="s">
        <v>23</v>
      </c>
    </row>
    <row r="56" spans="1:13" x14ac:dyDescent="0.25">
      <c r="A56" s="3">
        <v>2016</v>
      </c>
      <c r="B56" s="3" t="s">
        <v>13</v>
      </c>
      <c r="C56" s="3">
        <v>4</v>
      </c>
      <c r="D56" s="4" t="s">
        <v>14</v>
      </c>
      <c r="E56" s="11" t="s">
        <v>24</v>
      </c>
      <c r="F56" s="11" t="s">
        <v>25</v>
      </c>
      <c r="G56" s="11" t="s">
        <v>52</v>
      </c>
      <c r="H56" s="11" t="s">
        <v>27</v>
      </c>
      <c r="I56" s="5" t="str">
        <f t="shared" si="0"/>
        <v>Ličko, Schin</v>
      </c>
      <c r="J56" s="6" t="str">
        <f t="shared" si="1"/>
        <v>Nitka, Ryba</v>
      </c>
      <c r="K56" s="7">
        <f t="shared" si="2"/>
        <v>1</v>
      </c>
      <c r="L56" s="7">
        <f t="shared" si="3"/>
        <v>0</v>
      </c>
      <c r="M56" s="3" t="s">
        <v>8</v>
      </c>
    </row>
    <row r="57" spans="1:13" x14ac:dyDescent="0.25">
      <c r="A57" s="3">
        <v>2016</v>
      </c>
      <c r="B57" s="3" t="s">
        <v>13</v>
      </c>
      <c r="C57" s="3">
        <v>5</v>
      </c>
      <c r="D57" s="4" t="s">
        <v>40</v>
      </c>
      <c r="E57" s="11" t="s">
        <v>24</v>
      </c>
      <c r="F57" s="11" t="s">
        <v>53</v>
      </c>
      <c r="G57" s="11" t="s">
        <v>17</v>
      </c>
      <c r="H57" s="11" t="s">
        <v>54</v>
      </c>
      <c r="I57" s="5" t="str">
        <f t="shared" si="0"/>
        <v>Ličko, Machcinik</v>
      </c>
      <c r="J57" s="6" t="str">
        <f t="shared" si="1"/>
        <v>Baláž, Vedej</v>
      </c>
      <c r="K57" s="7">
        <f t="shared" si="2"/>
        <v>1</v>
      </c>
      <c r="L57" s="7">
        <f t="shared" si="3"/>
        <v>0</v>
      </c>
      <c r="M57" s="3" t="s">
        <v>8</v>
      </c>
    </row>
    <row r="58" spans="1:13" x14ac:dyDescent="0.25">
      <c r="A58" s="3">
        <v>2016</v>
      </c>
      <c r="B58" s="3" t="s">
        <v>13</v>
      </c>
      <c r="C58" s="3">
        <v>6</v>
      </c>
      <c r="D58" s="4" t="s">
        <v>40</v>
      </c>
      <c r="E58" s="11" t="s">
        <v>32</v>
      </c>
      <c r="F58" s="11" t="s">
        <v>28</v>
      </c>
      <c r="G58" s="11" t="s">
        <v>39</v>
      </c>
      <c r="H58" s="11" t="s">
        <v>18</v>
      </c>
      <c r="I58" s="5" t="str">
        <f t="shared" si="0"/>
        <v>Kolesár, Stanček</v>
      </c>
      <c r="J58" s="6" t="str">
        <f t="shared" si="1"/>
        <v>Gabura, Vališ</v>
      </c>
      <c r="K58" s="7">
        <f t="shared" si="2"/>
        <v>0.5</v>
      </c>
      <c r="L58" s="7">
        <f t="shared" si="3"/>
        <v>0.5</v>
      </c>
      <c r="M58" s="3" t="s">
        <v>23</v>
      </c>
    </row>
    <row r="59" spans="1:13" x14ac:dyDescent="0.25">
      <c r="A59" s="3">
        <v>2016</v>
      </c>
      <c r="B59" s="3" t="s">
        <v>13</v>
      </c>
      <c r="C59" s="3">
        <v>7</v>
      </c>
      <c r="D59" s="4" t="s">
        <v>40</v>
      </c>
      <c r="E59" s="11" t="s">
        <v>37</v>
      </c>
      <c r="F59" s="11" t="s">
        <v>25</v>
      </c>
      <c r="G59" s="11" t="s">
        <v>46</v>
      </c>
      <c r="H59" s="11" t="s">
        <v>52</v>
      </c>
      <c r="I59" s="5" t="str">
        <f t="shared" si="0"/>
        <v>Just, Schin</v>
      </c>
      <c r="J59" s="6" t="str">
        <f t="shared" si="1"/>
        <v>Bielik, Nitka</v>
      </c>
      <c r="K59" s="7">
        <f t="shared" si="2"/>
        <v>0.5</v>
      </c>
      <c r="L59" s="7">
        <f t="shared" si="3"/>
        <v>0.5</v>
      </c>
      <c r="M59" s="3" t="s">
        <v>23</v>
      </c>
    </row>
    <row r="60" spans="1:13" x14ac:dyDescent="0.25">
      <c r="A60" s="3">
        <v>2016</v>
      </c>
      <c r="B60" s="3" t="s">
        <v>13</v>
      </c>
      <c r="C60" s="3">
        <v>8</v>
      </c>
      <c r="D60" s="4" t="s">
        <v>40</v>
      </c>
      <c r="E60" s="11" t="s">
        <v>19</v>
      </c>
      <c r="F60" s="11" t="s">
        <v>15</v>
      </c>
      <c r="G60" s="11" t="s">
        <v>49</v>
      </c>
      <c r="H60" s="11" t="s">
        <v>50</v>
      </c>
      <c r="I60" s="5" t="str">
        <f t="shared" si="0"/>
        <v>Segéň, Štefko</v>
      </c>
      <c r="J60" s="6" t="str">
        <f t="shared" si="1"/>
        <v>Beňo, Polák</v>
      </c>
      <c r="K60" s="7">
        <f t="shared" si="2"/>
        <v>0</v>
      </c>
      <c r="L60" s="7">
        <f t="shared" si="3"/>
        <v>1</v>
      </c>
      <c r="M60" s="3" t="s">
        <v>9</v>
      </c>
    </row>
    <row r="61" spans="1:13" x14ac:dyDescent="0.25">
      <c r="A61" s="3">
        <v>2016</v>
      </c>
      <c r="B61" s="3" t="s">
        <v>41</v>
      </c>
      <c r="C61" s="3">
        <v>1</v>
      </c>
      <c r="D61" s="4" t="s">
        <v>14</v>
      </c>
      <c r="E61" s="11" t="s">
        <v>53</v>
      </c>
      <c r="F61" s="11" t="s">
        <v>19</v>
      </c>
      <c r="G61" s="11" t="s">
        <v>46</v>
      </c>
      <c r="H61" s="11" t="s">
        <v>52</v>
      </c>
      <c r="I61" s="5" t="str">
        <f t="shared" si="0"/>
        <v>Machcinik, Segéň</v>
      </c>
      <c r="J61" s="6" t="str">
        <f t="shared" si="1"/>
        <v>Bielik, Nitka</v>
      </c>
      <c r="K61" s="7">
        <f t="shared" si="2"/>
        <v>1</v>
      </c>
      <c r="L61" s="7">
        <f t="shared" si="3"/>
        <v>0</v>
      </c>
      <c r="M61" s="3" t="s">
        <v>8</v>
      </c>
    </row>
    <row r="62" spans="1:13" x14ac:dyDescent="0.25">
      <c r="A62" s="3">
        <v>2016</v>
      </c>
      <c r="B62" s="3" t="s">
        <v>41</v>
      </c>
      <c r="C62" s="3">
        <v>2</v>
      </c>
      <c r="D62" s="4" t="s">
        <v>14</v>
      </c>
      <c r="E62" s="11" t="s">
        <v>16</v>
      </c>
      <c r="F62" s="11" t="s">
        <v>15</v>
      </c>
      <c r="G62" s="11" t="s">
        <v>39</v>
      </c>
      <c r="H62" s="11" t="s">
        <v>54</v>
      </c>
      <c r="I62" s="5" t="str">
        <f t="shared" si="0"/>
        <v>Novák, Štefko</v>
      </c>
      <c r="J62" s="6" t="str">
        <f t="shared" si="1"/>
        <v>Gabura, Vedej</v>
      </c>
      <c r="K62" s="7">
        <f t="shared" si="2"/>
        <v>0</v>
      </c>
      <c r="L62" s="7">
        <f t="shared" si="3"/>
        <v>1</v>
      </c>
      <c r="M62" s="3" t="s">
        <v>9</v>
      </c>
    </row>
    <row r="63" spans="1:13" x14ac:dyDescent="0.25">
      <c r="A63" s="3">
        <v>2016</v>
      </c>
      <c r="B63" s="3" t="s">
        <v>41</v>
      </c>
      <c r="C63" s="3">
        <v>3</v>
      </c>
      <c r="D63" s="4" t="s">
        <v>14</v>
      </c>
      <c r="E63" s="11" t="s">
        <v>45</v>
      </c>
      <c r="F63" s="11" t="s">
        <v>28</v>
      </c>
      <c r="G63" s="11" t="s">
        <v>51</v>
      </c>
      <c r="H63" s="11" t="s">
        <v>18</v>
      </c>
      <c r="I63" s="5" t="str">
        <f t="shared" si="0"/>
        <v>Farkašovský, Stanček</v>
      </c>
      <c r="J63" s="6" t="str">
        <f t="shared" si="1"/>
        <v>Kráľ, Vališ</v>
      </c>
      <c r="K63" s="7">
        <f t="shared" si="2"/>
        <v>1</v>
      </c>
      <c r="L63" s="7">
        <f t="shared" si="3"/>
        <v>0</v>
      </c>
      <c r="M63" s="3" t="s">
        <v>8</v>
      </c>
    </row>
    <row r="64" spans="1:13" x14ac:dyDescent="0.25">
      <c r="A64" s="3">
        <v>2016</v>
      </c>
      <c r="B64" s="3" t="s">
        <v>41</v>
      </c>
      <c r="C64" s="3">
        <v>4</v>
      </c>
      <c r="D64" s="4" t="s">
        <v>14</v>
      </c>
      <c r="E64" s="11" t="s">
        <v>36</v>
      </c>
      <c r="F64" s="11" t="s">
        <v>32</v>
      </c>
      <c r="G64" s="11" t="s">
        <v>17</v>
      </c>
      <c r="H64" s="11" t="s">
        <v>38</v>
      </c>
      <c r="I64" s="5" t="str">
        <f t="shared" si="0"/>
        <v>Kafka, Kolesár</v>
      </c>
      <c r="J64" s="6" t="str">
        <f t="shared" si="1"/>
        <v>Baláž, Segéň</v>
      </c>
      <c r="K64" s="7">
        <f t="shared" si="2"/>
        <v>0</v>
      </c>
      <c r="L64" s="7">
        <f t="shared" si="3"/>
        <v>1</v>
      </c>
      <c r="M64" s="3" t="s">
        <v>9</v>
      </c>
    </row>
    <row r="65" spans="1:13" x14ac:dyDescent="0.25">
      <c r="A65" s="3">
        <v>2016</v>
      </c>
      <c r="B65" s="3" t="s">
        <v>41</v>
      </c>
      <c r="C65" s="3">
        <v>5</v>
      </c>
      <c r="D65" s="4" t="s">
        <v>40</v>
      </c>
      <c r="E65" s="11" t="s">
        <v>24</v>
      </c>
      <c r="F65" s="11" t="s">
        <v>28</v>
      </c>
      <c r="G65" s="11" t="s">
        <v>49</v>
      </c>
      <c r="H65" s="11" t="s">
        <v>50</v>
      </c>
      <c r="I65" s="5" t="str">
        <f t="shared" si="0"/>
        <v>Ličko, Stanček</v>
      </c>
      <c r="J65" s="6" t="str">
        <f t="shared" si="1"/>
        <v>Beňo, Polák</v>
      </c>
      <c r="K65" s="7">
        <f t="shared" si="2"/>
        <v>1</v>
      </c>
      <c r="L65" s="7">
        <f t="shared" si="3"/>
        <v>0</v>
      </c>
      <c r="M65" s="3" t="s">
        <v>8</v>
      </c>
    </row>
    <row r="66" spans="1:13" x14ac:dyDescent="0.25">
      <c r="A66" s="3">
        <v>2016</v>
      </c>
      <c r="B66" s="3" t="s">
        <v>41</v>
      </c>
      <c r="C66" s="3">
        <v>6</v>
      </c>
      <c r="D66" s="4" t="s">
        <v>40</v>
      </c>
      <c r="E66" s="11" t="s">
        <v>37</v>
      </c>
      <c r="F66" s="11" t="s">
        <v>19</v>
      </c>
      <c r="G66" s="11" t="s">
        <v>17</v>
      </c>
      <c r="H66" s="11" t="s">
        <v>51</v>
      </c>
      <c r="I66" s="5" t="str">
        <f t="shared" si="0"/>
        <v>Just, Segéň</v>
      </c>
      <c r="J66" s="6" t="str">
        <f t="shared" si="1"/>
        <v>Baláž, Kráľ</v>
      </c>
      <c r="K66" s="7">
        <f t="shared" si="2"/>
        <v>1</v>
      </c>
      <c r="L66" s="7">
        <f t="shared" si="3"/>
        <v>0</v>
      </c>
      <c r="M66" s="3" t="s">
        <v>8</v>
      </c>
    </row>
    <row r="67" spans="1:13" x14ac:dyDescent="0.25">
      <c r="A67" s="3">
        <v>2016</v>
      </c>
      <c r="B67" s="3" t="s">
        <v>41</v>
      </c>
      <c r="C67" s="3">
        <v>7</v>
      </c>
      <c r="D67" s="4" t="s">
        <v>40</v>
      </c>
      <c r="E67" s="11" t="s">
        <v>55</v>
      </c>
      <c r="F67" s="11" t="s">
        <v>45</v>
      </c>
      <c r="G67" s="11" t="s">
        <v>38</v>
      </c>
      <c r="H67" s="11" t="s">
        <v>26</v>
      </c>
      <c r="I67" s="5" t="str">
        <f t="shared" ref="I67:I130" si="4">IF(E67&gt;" ",IF(SEARCH(" ",E67)&gt;0,LEFT(E67,SEARCH(" ",E67)-1)) &amp; IF(F67&gt;" ",", " &amp; IF(SEARCH(" ",F67)&gt;0, LEFT(F67,SEARCH(" ",F67)-1)),""),"")</f>
        <v>Antala, Farkašovský</v>
      </c>
      <c r="J67" s="6" t="str">
        <f t="shared" ref="J67:J130" si="5">IF(G67&gt;" ",IF(SEARCH(" ",G67)&gt;0,LEFT(G67,SEARCH(" ",G67)-1)) &amp; IF(H67&gt;" ",", " &amp; IF(SEARCH(" ",H67)&gt;0, LEFT(H67,SEARCH(" ",H67)-1)),""),"")</f>
        <v>Segéň, Sill</v>
      </c>
      <c r="K67" s="7">
        <f t="shared" ref="K67:K130" si="6">IF(M67="Lefties",1,IF(M67="Righties",0,IF(M67="A/S",1/2,"")))</f>
        <v>1</v>
      </c>
      <c r="L67" s="7">
        <f t="shared" ref="L67:L130" si="7">IF(M67="Righties",1,IF(M67="Lefties",0,IF(M67="A/S",1/2,"")))</f>
        <v>0</v>
      </c>
      <c r="M67" s="3" t="s">
        <v>8</v>
      </c>
    </row>
    <row r="68" spans="1:13" x14ac:dyDescent="0.25">
      <c r="A68" s="3">
        <v>2016</v>
      </c>
      <c r="B68" s="3" t="s">
        <v>41</v>
      </c>
      <c r="C68" s="3">
        <v>8</v>
      </c>
      <c r="D68" s="4" t="s">
        <v>40</v>
      </c>
      <c r="E68" s="11" t="s">
        <v>16</v>
      </c>
      <c r="F68" s="11" t="s">
        <v>25</v>
      </c>
      <c r="G68" s="11" t="s">
        <v>46</v>
      </c>
      <c r="H68" s="11" t="s">
        <v>27</v>
      </c>
      <c r="I68" s="5" t="str">
        <f t="shared" si="4"/>
        <v>Novák, Schin</v>
      </c>
      <c r="J68" s="6" t="str">
        <f t="shared" si="5"/>
        <v>Bielik, Ryba</v>
      </c>
      <c r="K68" s="7">
        <f t="shared" si="6"/>
        <v>0</v>
      </c>
      <c r="L68" s="7">
        <f t="shared" si="7"/>
        <v>1</v>
      </c>
      <c r="M68" s="3" t="s">
        <v>9</v>
      </c>
    </row>
    <row r="69" spans="1:13" x14ac:dyDescent="0.25">
      <c r="A69" s="3">
        <v>2016</v>
      </c>
      <c r="B69" s="3" t="s">
        <v>48</v>
      </c>
      <c r="C69" s="3">
        <v>1</v>
      </c>
      <c r="D69" s="4" t="s">
        <v>42</v>
      </c>
      <c r="E69" s="11" t="s">
        <v>45</v>
      </c>
      <c r="F69" s="11"/>
      <c r="G69" s="11" t="s">
        <v>52</v>
      </c>
      <c r="H69" s="11"/>
      <c r="I69" s="5" t="str">
        <f t="shared" si="4"/>
        <v>Farkašovský</v>
      </c>
      <c r="J69" s="6" t="str">
        <f t="shared" si="5"/>
        <v>Nitka</v>
      </c>
      <c r="K69" s="7">
        <f t="shared" si="6"/>
        <v>0</v>
      </c>
      <c r="L69" s="7">
        <f t="shared" si="7"/>
        <v>1</v>
      </c>
      <c r="M69" s="3" t="s">
        <v>9</v>
      </c>
    </row>
    <row r="70" spans="1:13" x14ac:dyDescent="0.25">
      <c r="A70" s="3">
        <v>2016</v>
      </c>
      <c r="B70" s="3" t="s">
        <v>48</v>
      </c>
      <c r="C70" s="3">
        <v>2</v>
      </c>
      <c r="D70" s="4" t="s">
        <v>42</v>
      </c>
      <c r="E70" s="11" t="s">
        <v>19</v>
      </c>
      <c r="F70" s="11"/>
      <c r="G70" s="11" t="s">
        <v>50</v>
      </c>
      <c r="H70" s="11"/>
      <c r="I70" s="5" t="str">
        <f t="shared" si="4"/>
        <v>Segéň</v>
      </c>
      <c r="J70" s="6" t="str">
        <f t="shared" si="5"/>
        <v>Polák</v>
      </c>
      <c r="K70" s="7">
        <f t="shared" si="6"/>
        <v>1</v>
      </c>
      <c r="L70" s="7">
        <f t="shared" si="7"/>
        <v>0</v>
      </c>
      <c r="M70" s="3" t="s">
        <v>8</v>
      </c>
    </row>
    <row r="71" spans="1:13" x14ac:dyDescent="0.25">
      <c r="A71" s="3">
        <v>2016</v>
      </c>
      <c r="B71" s="3" t="s">
        <v>48</v>
      </c>
      <c r="C71" s="3">
        <v>3</v>
      </c>
      <c r="D71" s="4" t="s">
        <v>42</v>
      </c>
      <c r="E71" s="11" t="s">
        <v>36</v>
      </c>
      <c r="F71" s="11"/>
      <c r="G71" s="11" t="s">
        <v>51</v>
      </c>
      <c r="H71" s="11"/>
      <c r="I71" s="5" t="str">
        <f t="shared" si="4"/>
        <v>Kafka</v>
      </c>
      <c r="J71" s="6" t="str">
        <f t="shared" si="5"/>
        <v>Kráľ</v>
      </c>
      <c r="K71" s="7">
        <f t="shared" si="6"/>
        <v>1</v>
      </c>
      <c r="L71" s="7">
        <f t="shared" si="7"/>
        <v>0</v>
      </c>
      <c r="M71" s="3" t="s">
        <v>8</v>
      </c>
    </row>
    <row r="72" spans="1:13" x14ac:dyDescent="0.25">
      <c r="A72" s="3">
        <v>2016</v>
      </c>
      <c r="B72" s="3" t="s">
        <v>48</v>
      </c>
      <c r="C72" s="3">
        <v>4</v>
      </c>
      <c r="D72" s="4" t="s">
        <v>42</v>
      </c>
      <c r="E72" s="11" t="s">
        <v>25</v>
      </c>
      <c r="F72" s="11"/>
      <c r="G72" s="11" t="s">
        <v>27</v>
      </c>
      <c r="H72" s="11"/>
      <c r="I72" s="5" t="str">
        <f t="shared" si="4"/>
        <v>Schin</v>
      </c>
      <c r="J72" s="6" t="str">
        <f t="shared" si="5"/>
        <v>Ryba</v>
      </c>
      <c r="K72" s="7">
        <f t="shared" si="6"/>
        <v>1</v>
      </c>
      <c r="L72" s="7">
        <f t="shared" si="7"/>
        <v>0</v>
      </c>
      <c r="M72" s="3" t="s">
        <v>8</v>
      </c>
    </row>
    <row r="73" spans="1:13" x14ac:dyDescent="0.25">
      <c r="A73" s="3">
        <v>2016</v>
      </c>
      <c r="B73" s="3" t="s">
        <v>48</v>
      </c>
      <c r="C73" s="3">
        <v>5</v>
      </c>
      <c r="D73" s="4" t="s">
        <v>42</v>
      </c>
      <c r="E73" s="11" t="s">
        <v>24</v>
      </c>
      <c r="F73" s="11"/>
      <c r="G73" s="11" t="s">
        <v>39</v>
      </c>
      <c r="H73" s="11"/>
      <c r="I73" s="5" t="str">
        <f t="shared" si="4"/>
        <v>Ličko</v>
      </c>
      <c r="J73" s="6" t="str">
        <f t="shared" si="5"/>
        <v>Gabura</v>
      </c>
      <c r="K73" s="7">
        <f t="shared" si="6"/>
        <v>1</v>
      </c>
      <c r="L73" s="7">
        <f t="shared" si="7"/>
        <v>0</v>
      </c>
      <c r="M73" s="3" t="s">
        <v>8</v>
      </c>
    </row>
    <row r="74" spans="1:13" x14ac:dyDescent="0.25">
      <c r="A74" s="3">
        <v>2016</v>
      </c>
      <c r="B74" s="3" t="s">
        <v>48</v>
      </c>
      <c r="C74" s="3">
        <v>6</v>
      </c>
      <c r="D74" s="4" t="s">
        <v>42</v>
      </c>
      <c r="E74" s="11" t="s">
        <v>55</v>
      </c>
      <c r="F74" s="11"/>
      <c r="G74" s="11" t="s">
        <v>38</v>
      </c>
      <c r="H74" s="11"/>
      <c r="I74" s="5" t="str">
        <f t="shared" si="4"/>
        <v>Antala</v>
      </c>
      <c r="J74" s="6" t="str">
        <f t="shared" si="5"/>
        <v>Segéň</v>
      </c>
      <c r="K74" s="7">
        <f t="shared" si="6"/>
        <v>0</v>
      </c>
      <c r="L74" s="7">
        <f t="shared" si="7"/>
        <v>1</v>
      </c>
      <c r="M74" s="3" t="s">
        <v>9</v>
      </c>
    </row>
    <row r="75" spans="1:13" x14ac:dyDescent="0.25">
      <c r="A75" s="3">
        <v>2016</v>
      </c>
      <c r="B75" s="3" t="s">
        <v>48</v>
      </c>
      <c r="C75" s="3">
        <v>7</v>
      </c>
      <c r="D75" s="4" t="s">
        <v>42</v>
      </c>
      <c r="E75" s="11" t="s">
        <v>37</v>
      </c>
      <c r="F75" s="11"/>
      <c r="G75" s="11" t="s">
        <v>46</v>
      </c>
      <c r="H75" s="11"/>
      <c r="I75" s="5" t="str">
        <f t="shared" si="4"/>
        <v>Just</v>
      </c>
      <c r="J75" s="6" t="str">
        <f t="shared" si="5"/>
        <v>Bielik</v>
      </c>
      <c r="K75" s="7">
        <f t="shared" si="6"/>
        <v>0</v>
      </c>
      <c r="L75" s="7">
        <f t="shared" si="7"/>
        <v>1</v>
      </c>
      <c r="M75" s="3" t="s">
        <v>9</v>
      </c>
    </row>
    <row r="76" spans="1:13" x14ac:dyDescent="0.25">
      <c r="A76" s="3">
        <v>2016</v>
      </c>
      <c r="B76" s="3" t="s">
        <v>48</v>
      </c>
      <c r="C76" s="3">
        <v>8</v>
      </c>
      <c r="D76" s="4" t="s">
        <v>42</v>
      </c>
      <c r="E76" s="11" t="s">
        <v>28</v>
      </c>
      <c r="F76" s="11"/>
      <c r="G76" s="11" t="s">
        <v>26</v>
      </c>
      <c r="H76" s="11"/>
      <c r="I76" s="5" t="str">
        <f t="shared" si="4"/>
        <v>Stanček</v>
      </c>
      <c r="J76" s="6" t="str">
        <f t="shared" si="5"/>
        <v>Sill</v>
      </c>
      <c r="K76" s="7">
        <f t="shared" si="6"/>
        <v>1</v>
      </c>
      <c r="L76" s="7">
        <f t="shared" si="7"/>
        <v>0</v>
      </c>
      <c r="M76" s="3" t="s">
        <v>8</v>
      </c>
    </row>
    <row r="77" spans="1:13" x14ac:dyDescent="0.25">
      <c r="A77" s="3">
        <v>2016</v>
      </c>
      <c r="B77" s="3" t="s">
        <v>48</v>
      </c>
      <c r="C77" s="3">
        <v>9</v>
      </c>
      <c r="D77" s="4" t="s">
        <v>42</v>
      </c>
      <c r="E77" s="11" t="s">
        <v>53</v>
      </c>
      <c r="F77" s="11"/>
      <c r="G77" s="11" t="s">
        <v>49</v>
      </c>
      <c r="H77" s="11"/>
      <c r="I77" s="5" t="str">
        <f t="shared" si="4"/>
        <v>Machcinik</v>
      </c>
      <c r="J77" s="6" t="str">
        <f t="shared" si="5"/>
        <v>Beňo</v>
      </c>
      <c r="K77" s="7">
        <f t="shared" si="6"/>
        <v>0</v>
      </c>
      <c r="L77" s="7">
        <f t="shared" si="7"/>
        <v>1</v>
      </c>
      <c r="M77" s="3" t="s">
        <v>9</v>
      </c>
    </row>
    <row r="78" spans="1:13" x14ac:dyDescent="0.25">
      <c r="A78" s="3">
        <v>2016</v>
      </c>
      <c r="B78" s="3" t="s">
        <v>48</v>
      </c>
      <c r="C78" s="3">
        <v>10</v>
      </c>
      <c r="D78" s="4" t="s">
        <v>42</v>
      </c>
      <c r="E78" s="11" t="s">
        <v>15</v>
      </c>
      <c r="F78" s="11"/>
      <c r="G78" s="11" t="s">
        <v>18</v>
      </c>
      <c r="H78" s="11"/>
      <c r="I78" s="5" t="str">
        <f t="shared" si="4"/>
        <v>Štefko</v>
      </c>
      <c r="J78" s="6" t="str">
        <f t="shared" si="5"/>
        <v>Vališ</v>
      </c>
      <c r="K78" s="7">
        <f t="shared" si="6"/>
        <v>0.5</v>
      </c>
      <c r="L78" s="7">
        <f t="shared" si="7"/>
        <v>0.5</v>
      </c>
      <c r="M78" s="3" t="s">
        <v>23</v>
      </c>
    </row>
    <row r="79" spans="1:13" x14ac:dyDescent="0.25">
      <c r="A79" s="3">
        <v>2016</v>
      </c>
      <c r="B79" s="3" t="s">
        <v>48</v>
      </c>
      <c r="C79" s="3">
        <v>11</v>
      </c>
      <c r="D79" s="4" t="s">
        <v>42</v>
      </c>
      <c r="E79" s="11" t="s">
        <v>16</v>
      </c>
      <c r="F79" s="11"/>
      <c r="G79" s="11" t="s">
        <v>17</v>
      </c>
      <c r="H79" s="11"/>
      <c r="I79" s="5" t="str">
        <f t="shared" si="4"/>
        <v>Novák</v>
      </c>
      <c r="J79" s="6" t="str">
        <f t="shared" si="5"/>
        <v>Baláž</v>
      </c>
      <c r="K79" s="7">
        <f t="shared" si="6"/>
        <v>1</v>
      </c>
      <c r="L79" s="7">
        <f t="shared" si="7"/>
        <v>0</v>
      </c>
      <c r="M79" s="3" t="s">
        <v>8</v>
      </c>
    </row>
    <row r="80" spans="1:13" x14ac:dyDescent="0.25">
      <c r="A80" s="3">
        <v>2016</v>
      </c>
      <c r="B80" s="3" t="s">
        <v>48</v>
      </c>
      <c r="C80" s="3">
        <v>12</v>
      </c>
      <c r="D80" s="4" t="s">
        <v>42</v>
      </c>
      <c r="E80" s="11" t="s">
        <v>32</v>
      </c>
      <c r="F80" s="11"/>
      <c r="G80" s="11" t="s">
        <v>54</v>
      </c>
      <c r="H80" s="11"/>
      <c r="I80" s="5" t="str">
        <f t="shared" si="4"/>
        <v>Kolesár</v>
      </c>
      <c r="J80" s="6" t="str">
        <f t="shared" si="5"/>
        <v>Vedej</v>
      </c>
      <c r="K80" s="7">
        <f t="shared" si="6"/>
        <v>0.5</v>
      </c>
      <c r="L80" s="7">
        <f t="shared" si="7"/>
        <v>0.5</v>
      </c>
      <c r="M80" s="3" t="s">
        <v>23</v>
      </c>
    </row>
    <row r="81" spans="1:13" x14ac:dyDescent="0.25">
      <c r="A81" s="3">
        <v>2017</v>
      </c>
      <c r="B81" s="3" t="s">
        <v>13</v>
      </c>
      <c r="C81" s="3">
        <v>1</v>
      </c>
      <c r="D81" s="4" t="s">
        <v>40</v>
      </c>
      <c r="E81" s="11" t="s">
        <v>56</v>
      </c>
      <c r="F81" s="11" t="s">
        <v>19</v>
      </c>
      <c r="G81" s="11" t="s">
        <v>58</v>
      </c>
      <c r="H81" s="11" t="s">
        <v>57</v>
      </c>
      <c r="I81" s="5" t="str">
        <f t="shared" si="4"/>
        <v>Horanský, Segéň</v>
      </c>
      <c r="J81" s="6" t="str">
        <f t="shared" si="5"/>
        <v>Lacuška, Mňahončák</v>
      </c>
      <c r="K81" s="7">
        <f t="shared" si="6"/>
        <v>1</v>
      </c>
      <c r="L81" s="7">
        <f t="shared" si="7"/>
        <v>0</v>
      </c>
      <c r="M81" s="3" t="s">
        <v>8</v>
      </c>
    </row>
    <row r="82" spans="1:13" x14ac:dyDescent="0.25">
      <c r="A82" s="3">
        <v>2017</v>
      </c>
      <c r="B82" s="3" t="s">
        <v>13</v>
      </c>
      <c r="C82" s="3">
        <v>2</v>
      </c>
      <c r="D82" s="4" t="s">
        <v>40</v>
      </c>
      <c r="E82" s="11" t="s">
        <v>45</v>
      </c>
      <c r="F82" s="11" t="s">
        <v>16</v>
      </c>
      <c r="G82" s="11" t="s">
        <v>59</v>
      </c>
      <c r="H82" s="11" t="s">
        <v>47</v>
      </c>
      <c r="I82" s="5" t="str">
        <f t="shared" si="4"/>
        <v>Farkašovský, Novák</v>
      </c>
      <c r="J82" s="6" t="str">
        <f t="shared" si="5"/>
        <v>Pecha, Smatana</v>
      </c>
      <c r="K82" s="7">
        <f t="shared" si="6"/>
        <v>0</v>
      </c>
      <c r="L82" s="7">
        <f t="shared" si="7"/>
        <v>1</v>
      </c>
      <c r="M82" s="3" t="s">
        <v>9</v>
      </c>
    </row>
    <row r="83" spans="1:13" x14ac:dyDescent="0.25">
      <c r="A83" s="3">
        <v>2017</v>
      </c>
      <c r="B83" s="3" t="s">
        <v>13</v>
      </c>
      <c r="C83" s="3">
        <v>3</v>
      </c>
      <c r="D83" s="4" t="s">
        <v>40</v>
      </c>
      <c r="E83" s="11" t="s">
        <v>60</v>
      </c>
      <c r="F83" s="11"/>
      <c r="G83" s="11" t="s">
        <v>61</v>
      </c>
      <c r="H83" s="11" t="s">
        <v>62</v>
      </c>
      <c r="I83" s="5" t="str">
        <f t="shared" si="4"/>
        <v>Cigáň</v>
      </c>
      <c r="J83" s="6" t="str">
        <f t="shared" si="5"/>
        <v>Gotzl, Hanzalík</v>
      </c>
      <c r="K83" s="7">
        <f t="shared" si="6"/>
        <v>0</v>
      </c>
      <c r="L83" s="7">
        <f t="shared" si="7"/>
        <v>1</v>
      </c>
      <c r="M83" s="3" t="s">
        <v>9</v>
      </c>
    </row>
    <row r="84" spans="1:13" x14ac:dyDescent="0.25">
      <c r="A84" s="3">
        <v>2017</v>
      </c>
      <c r="B84" s="3" t="s">
        <v>13</v>
      </c>
      <c r="C84" s="3">
        <v>4</v>
      </c>
      <c r="D84" s="4" t="s">
        <v>40</v>
      </c>
      <c r="E84" s="11" t="s">
        <v>55</v>
      </c>
      <c r="F84" s="11" t="s">
        <v>63</v>
      </c>
      <c r="G84" s="11" t="s">
        <v>34</v>
      </c>
      <c r="H84" s="11" t="s">
        <v>64</v>
      </c>
      <c r="I84" s="5" t="str">
        <f t="shared" si="4"/>
        <v>Antala, Torma</v>
      </c>
      <c r="J84" s="6" t="str">
        <f t="shared" si="5"/>
        <v>Varga, Weis</v>
      </c>
      <c r="K84" s="7">
        <f t="shared" si="6"/>
        <v>1</v>
      </c>
      <c r="L84" s="7">
        <f t="shared" si="7"/>
        <v>0</v>
      </c>
      <c r="M84" s="3" t="s">
        <v>8</v>
      </c>
    </row>
    <row r="85" spans="1:13" x14ac:dyDescent="0.25">
      <c r="A85" s="3">
        <v>2017</v>
      </c>
      <c r="B85" s="3" t="s">
        <v>13</v>
      </c>
      <c r="C85" s="3">
        <v>5</v>
      </c>
      <c r="D85" s="4" t="s">
        <v>40</v>
      </c>
      <c r="E85" s="11" t="s">
        <v>53</v>
      </c>
      <c r="F85" s="11" t="s">
        <v>28</v>
      </c>
      <c r="G85" s="11" t="s">
        <v>66</v>
      </c>
      <c r="H85" s="11" t="s">
        <v>65</v>
      </c>
      <c r="I85" s="5" t="str">
        <f t="shared" si="4"/>
        <v>Machcinik, Stanček</v>
      </c>
      <c r="J85" s="6" t="str">
        <f t="shared" si="5"/>
        <v>Kollár, Očadlík</v>
      </c>
      <c r="K85" s="7">
        <f t="shared" si="6"/>
        <v>1</v>
      </c>
      <c r="L85" s="7">
        <f t="shared" si="7"/>
        <v>0</v>
      </c>
      <c r="M85" s="3" t="s">
        <v>8</v>
      </c>
    </row>
    <row r="86" spans="1:13" x14ac:dyDescent="0.25">
      <c r="A86" s="3">
        <v>2017</v>
      </c>
      <c r="B86" s="3" t="s">
        <v>13</v>
      </c>
      <c r="C86" s="3">
        <v>6</v>
      </c>
      <c r="D86" s="4" t="s">
        <v>40</v>
      </c>
      <c r="E86" s="11" t="s">
        <v>67</v>
      </c>
      <c r="F86" s="11" t="s">
        <v>25</v>
      </c>
      <c r="G86" s="11" t="s">
        <v>38</v>
      </c>
      <c r="H86" s="11" t="s">
        <v>68</v>
      </c>
      <c r="I86" s="5" t="str">
        <f t="shared" si="4"/>
        <v>Jamnický, Schin</v>
      </c>
      <c r="J86" s="6" t="str">
        <f t="shared" si="5"/>
        <v>Segéň, Zlocha</v>
      </c>
      <c r="K86" s="7">
        <f t="shared" si="6"/>
        <v>0</v>
      </c>
      <c r="L86" s="7">
        <f t="shared" si="7"/>
        <v>1</v>
      </c>
      <c r="M86" s="3" t="s">
        <v>9</v>
      </c>
    </row>
    <row r="87" spans="1:13" x14ac:dyDescent="0.25">
      <c r="A87" s="3">
        <v>2017</v>
      </c>
      <c r="B87" s="3" t="s">
        <v>41</v>
      </c>
      <c r="C87" s="3">
        <v>1</v>
      </c>
      <c r="D87" s="4" t="s">
        <v>14</v>
      </c>
      <c r="E87" s="11" t="s">
        <v>55</v>
      </c>
      <c r="F87" s="11" t="s">
        <v>45</v>
      </c>
      <c r="G87" s="11" t="s">
        <v>66</v>
      </c>
      <c r="H87" s="11" t="s">
        <v>58</v>
      </c>
      <c r="I87" s="5" t="str">
        <f t="shared" si="4"/>
        <v>Antala, Farkašovský</v>
      </c>
      <c r="J87" s="6" t="str">
        <f t="shared" si="5"/>
        <v>Kollár, Lacuška</v>
      </c>
      <c r="K87" s="7">
        <f t="shared" si="6"/>
        <v>1</v>
      </c>
      <c r="L87" s="7">
        <f t="shared" si="7"/>
        <v>0</v>
      </c>
      <c r="M87" s="3" t="s">
        <v>8</v>
      </c>
    </row>
    <row r="88" spans="1:13" x14ac:dyDescent="0.25">
      <c r="A88" s="3">
        <v>2017</v>
      </c>
      <c r="B88" s="3" t="s">
        <v>41</v>
      </c>
      <c r="C88" s="3">
        <v>2</v>
      </c>
      <c r="D88" s="4" t="s">
        <v>14</v>
      </c>
      <c r="E88" s="11" t="s">
        <v>19</v>
      </c>
      <c r="F88" s="11" t="s">
        <v>63</v>
      </c>
      <c r="G88" s="11" t="s">
        <v>47</v>
      </c>
      <c r="H88" s="11" t="s">
        <v>64</v>
      </c>
      <c r="I88" s="5" t="str">
        <f t="shared" si="4"/>
        <v>Segéň, Torma</v>
      </c>
      <c r="J88" s="6" t="str">
        <f t="shared" si="5"/>
        <v>Smatana, Weis</v>
      </c>
      <c r="K88" s="7">
        <f t="shared" si="6"/>
        <v>0</v>
      </c>
      <c r="L88" s="7">
        <f t="shared" si="7"/>
        <v>1</v>
      </c>
      <c r="M88" s="3" t="s">
        <v>9</v>
      </c>
    </row>
    <row r="89" spans="1:13" x14ac:dyDescent="0.25">
      <c r="A89" s="3">
        <v>2017</v>
      </c>
      <c r="B89" s="3" t="s">
        <v>41</v>
      </c>
      <c r="C89" s="3">
        <v>3</v>
      </c>
      <c r="D89" s="4" t="s">
        <v>14</v>
      </c>
      <c r="E89" s="11" t="s">
        <v>56</v>
      </c>
      <c r="F89" s="11" t="s">
        <v>67</v>
      </c>
      <c r="G89" s="11" t="s">
        <v>57</v>
      </c>
      <c r="H89" s="11" t="s">
        <v>38</v>
      </c>
      <c r="I89" s="5" t="str">
        <f t="shared" si="4"/>
        <v>Horanský, Jamnický</v>
      </c>
      <c r="J89" s="6" t="str">
        <f t="shared" si="5"/>
        <v>Mňahončák, Segéň</v>
      </c>
      <c r="K89" s="7">
        <f t="shared" si="6"/>
        <v>1</v>
      </c>
      <c r="L89" s="7">
        <f t="shared" si="7"/>
        <v>0</v>
      </c>
      <c r="M89" s="3" t="s">
        <v>8</v>
      </c>
    </row>
    <row r="90" spans="1:13" x14ac:dyDescent="0.25">
      <c r="A90" s="3">
        <v>2017</v>
      </c>
      <c r="B90" s="3" t="s">
        <v>41</v>
      </c>
      <c r="C90" s="3">
        <v>4</v>
      </c>
      <c r="D90" s="4" t="s">
        <v>14</v>
      </c>
      <c r="E90" s="11" t="s">
        <v>53</v>
      </c>
      <c r="F90" s="11" t="s">
        <v>25</v>
      </c>
      <c r="G90" s="11" t="s">
        <v>62</v>
      </c>
      <c r="H90" s="11" t="s">
        <v>59</v>
      </c>
      <c r="I90" s="5" t="str">
        <f t="shared" si="4"/>
        <v>Machcinik, Schin</v>
      </c>
      <c r="J90" s="6" t="str">
        <f t="shared" si="5"/>
        <v>Hanzalík, Pecha</v>
      </c>
      <c r="K90" s="7">
        <f t="shared" si="6"/>
        <v>1</v>
      </c>
      <c r="L90" s="7">
        <f t="shared" si="7"/>
        <v>0</v>
      </c>
      <c r="M90" s="3" t="s">
        <v>8</v>
      </c>
    </row>
    <row r="91" spans="1:13" x14ac:dyDescent="0.25">
      <c r="A91" s="3">
        <v>2017</v>
      </c>
      <c r="B91" s="3" t="s">
        <v>41</v>
      </c>
      <c r="C91" s="3">
        <v>5</v>
      </c>
      <c r="D91" s="4" t="s">
        <v>14</v>
      </c>
      <c r="E91" s="11" t="s">
        <v>16</v>
      </c>
      <c r="F91" s="11" t="s">
        <v>28</v>
      </c>
      <c r="G91" s="11" t="s">
        <v>61</v>
      </c>
      <c r="H91" s="11" t="s">
        <v>34</v>
      </c>
      <c r="I91" s="5" t="str">
        <f t="shared" si="4"/>
        <v>Novák, Stanček</v>
      </c>
      <c r="J91" s="6" t="str">
        <f t="shared" si="5"/>
        <v>Gotzl, Varga</v>
      </c>
      <c r="K91" s="7">
        <f t="shared" si="6"/>
        <v>1</v>
      </c>
      <c r="L91" s="7">
        <f t="shared" si="7"/>
        <v>0</v>
      </c>
      <c r="M91" s="3" t="s">
        <v>8</v>
      </c>
    </row>
    <row r="92" spans="1:13" x14ac:dyDescent="0.25">
      <c r="A92" s="3">
        <v>2017</v>
      </c>
      <c r="B92" s="3" t="s">
        <v>41</v>
      </c>
      <c r="C92" s="3">
        <v>6</v>
      </c>
      <c r="D92" s="4" t="s">
        <v>14</v>
      </c>
      <c r="E92" s="11" t="s">
        <v>60</v>
      </c>
      <c r="F92" s="11"/>
      <c r="G92" s="11" t="s">
        <v>65</v>
      </c>
      <c r="H92" s="11" t="s">
        <v>68</v>
      </c>
      <c r="I92" s="5" t="str">
        <f t="shared" si="4"/>
        <v>Cigáň</v>
      </c>
      <c r="J92" s="6" t="str">
        <f t="shared" si="5"/>
        <v>Očadlík, Zlocha</v>
      </c>
      <c r="K92" s="7">
        <f t="shared" si="6"/>
        <v>0</v>
      </c>
      <c r="L92" s="7">
        <f t="shared" si="7"/>
        <v>1</v>
      </c>
      <c r="M92" s="3" t="s">
        <v>9</v>
      </c>
    </row>
    <row r="93" spans="1:13" x14ac:dyDescent="0.25">
      <c r="A93" s="3">
        <v>2017</v>
      </c>
      <c r="B93" s="3" t="s">
        <v>48</v>
      </c>
      <c r="C93" s="3">
        <v>1</v>
      </c>
      <c r="D93" s="4" t="s">
        <v>42</v>
      </c>
      <c r="E93" s="11" t="s">
        <v>53</v>
      </c>
      <c r="F93" s="11"/>
      <c r="G93" s="11" t="s">
        <v>66</v>
      </c>
      <c r="H93" s="11"/>
      <c r="I93" s="5" t="str">
        <f t="shared" si="4"/>
        <v>Machcinik</v>
      </c>
      <c r="J93" s="6" t="str">
        <f t="shared" si="5"/>
        <v>Kollár</v>
      </c>
      <c r="K93" s="7">
        <f t="shared" si="6"/>
        <v>1</v>
      </c>
      <c r="L93" s="7">
        <f t="shared" si="7"/>
        <v>0</v>
      </c>
      <c r="M93" s="3" t="s">
        <v>8</v>
      </c>
    </row>
    <row r="94" spans="1:13" x14ac:dyDescent="0.25">
      <c r="A94" s="3">
        <v>2017</v>
      </c>
      <c r="B94" s="3" t="s">
        <v>48</v>
      </c>
      <c r="C94" s="3">
        <v>2</v>
      </c>
      <c r="D94" s="4" t="s">
        <v>42</v>
      </c>
      <c r="E94" s="11" t="s">
        <v>16</v>
      </c>
      <c r="F94" s="11"/>
      <c r="G94" s="11" t="s">
        <v>64</v>
      </c>
      <c r="H94" s="11"/>
      <c r="I94" s="5" t="str">
        <f t="shared" si="4"/>
        <v>Novák</v>
      </c>
      <c r="J94" s="6" t="str">
        <f t="shared" si="5"/>
        <v>Weis</v>
      </c>
      <c r="K94" s="7">
        <f t="shared" si="6"/>
        <v>1</v>
      </c>
      <c r="L94" s="7">
        <f t="shared" si="7"/>
        <v>0</v>
      </c>
      <c r="M94" s="3" t="s">
        <v>8</v>
      </c>
    </row>
    <row r="95" spans="1:13" x14ac:dyDescent="0.25">
      <c r="A95" s="3">
        <v>2017</v>
      </c>
      <c r="B95" s="3" t="s">
        <v>48</v>
      </c>
      <c r="C95" s="3">
        <v>3</v>
      </c>
      <c r="D95" s="4" t="s">
        <v>42</v>
      </c>
      <c r="E95" s="11" t="s">
        <v>19</v>
      </c>
      <c r="F95" s="11"/>
      <c r="G95" s="11" t="s">
        <v>68</v>
      </c>
      <c r="H95" s="11"/>
      <c r="I95" s="5" t="str">
        <f t="shared" si="4"/>
        <v>Segéň</v>
      </c>
      <c r="J95" s="6" t="str">
        <f t="shared" si="5"/>
        <v>Zlocha</v>
      </c>
      <c r="K95" s="7">
        <f t="shared" si="6"/>
        <v>0.5</v>
      </c>
      <c r="L95" s="7">
        <f t="shared" si="7"/>
        <v>0.5</v>
      </c>
      <c r="M95" s="3" t="s">
        <v>23</v>
      </c>
    </row>
    <row r="96" spans="1:13" x14ac:dyDescent="0.25">
      <c r="A96" s="3">
        <v>2017</v>
      </c>
      <c r="B96" s="3" t="s">
        <v>48</v>
      </c>
      <c r="C96" s="3">
        <v>4</v>
      </c>
      <c r="D96" s="4" t="s">
        <v>42</v>
      </c>
      <c r="E96" s="11" t="s">
        <v>24</v>
      </c>
      <c r="F96" s="11"/>
      <c r="G96" s="11" t="s">
        <v>62</v>
      </c>
      <c r="H96" s="11"/>
      <c r="I96" s="5" t="str">
        <f t="shared" si="4"/>
        <v>Ličko</v>
      </c>
      <c r="J96" s="6" t="str">
        <f t="shared" si="5"/>
        <v>Hanzalík</v>
      </c>
      <c r="K96" s="7">
        <f t="shared" si="6"/>
        <v>0</v>
      </c>
      <c r="L96" s="7">
        <f t="shared" si="7"/>
        <v>1</v>
      </c>
      <c r="M96" s="3" t="s">
        <v>9</v>
      </c>
    </row>
    <row r="97" spans="1:13" x14ac:dyDescent="0.25">
      <c r="A97" s="3">
        <v>2017</v>
      </c>
      <c r="B97" s="3" t="s">
        <v>48</v>
      </c>
      <c r="C97" s="3">
        <v>5</v>
      </c>
      <c r="D97" s="4" t="s">
        <v>42</v>
      </c>
      <c r="E97" s="11" t="s">
        <v>25</v>
      </c>
      <c r="F97" s="11"/>
      <c r="G97" s="11" t="s">
        <v>47</v>
      </c>
      <c r="H97" s="11"/>
      <c r="I97" s="5" t="str">
        <f t="shared" si="4"/>
        <v>Schin</v>
      </c>
      <c r="J97" s="6" t="str">
        <f t="shared" si="5"/>
        <v>Smatana</v>
      </c>
      <c r="K97" s="7">
        <f t="shared" si="6"/>
        <v>1</v>
      </c>
      <c r="L97" s="7">
        <f t="shared" si="7"/>
        <v>0</v>
      </c>
      <c r="M97" s="3" t="s">
        <v>8</v>
      </c>
    </row>
    <row r="98" spans="1:13" x14ac:dyDescent="0.25">
      <c r="A98" s="3">
        <v>2017</v>
      </c>
      <c r="B98" s="3" t="s">
        <v>48</v>
      </c>
      <c r="C98" s="3">
        <v>6</v>
      </c>
      <c r="D98" s="4" t="s">
        <v>42</v>
      </c>
      <c r="E98" s="11" t="s">
        <v>56</v>
      </c>
      <c r="F98" s="11"/>
      <c r="G98" s="11" t="s">
        <v>61</v>
      </c>
      <c r="H98" s="11"/>
      <c r="I98" s="5" t="str">
        <f t="shared" si="4"/>
        <v>Horanský</v>
      </c>
      <c r="J98" s="6" t="str">
        <f t="shared" si="5"/>
        <v>Gotzl</v>
      </c>
      <c r="K98" s="7">
        <f t="shared" si="6"/>
        <v>0</v>
      </c>
      <c r="L98" s="7">
        <f t="shared" si="7"/>
        <v>1</v>
      </c>
      <c r="M98" s="3" t="s">
        <v>9</v>
      </c>
    </row>
    <row r="99" spans="1:13" x14ac:dyDescent="0.25">
      <c r="A99" s="3">
        <v>2017</v>
      </c>
      <c r="B99" s="3" t="s">
        <v>48</v>
      </c>
      <c r="C99" s="3">
        <v>7</v>
      </c>
      <c r="D99" s="4" t="s">
        <v>42</v>
      </c>
      <c r="E99" s="11" t="s">
        <v>55</v>
      </c>
      <c r="F99" s="11"/>
      <c r="G99" s="11" t="s">
        <v>57</v>
      </c>
      <c r="H99" s="11"/>
      <c r="I99" s="5" t="str">
        <f t="shared" si="4"/>
        <v>Antala</v>
      </c>
      <c r="J99" s="6" t="str">
        <f t="shared" si="5"/>
        <v>Mňahončák</v>
      </c>
      <c r="K99" s="7">
        <f t="shared" si="6"/>
        <v>1</v>
      </c>
      <c r="L99" s="7">
        <f t="shared" si="7"/>
        <v>0</v>
      </c>
      <c r="M99" s="3" t="s">
        <v>8</v>
      </c>
    </row>
    <row r="100" spans="1:13" x14ac:dyDescent="0.25">
      <c r="A100" s="3">
        <v>2017</v>
      </c>
      <c r="B100" s="3" t="s">
        <v>48</v>
      </c>
      <c r="C100" s="3">
        <v>8</v>
      </c>
      <c r="D100" s="4" t="s">
        <v>42</v>
      </c>
      <c r="E100" s="11" t="s">
        <v>67</v>
      </c>
      <c r="F100" s="11"/>
      <c r="G100" s="11" t="s">
        <v>58</v>
      </c>
      <c r="H100" s="11"/>
      <c r="I100" s="5" t="str">
        <f t="shared" si="4"/>
        <v>Jamnický</v>
      </c>
      <c r="J100" s="6" t="str">
        <f t="shared" si="5"/>
        <v>Lacuška</v>
      </c>
      <c r="K100" s="7">
        <f t="shared" si="6"/>
        <v>1</v>
      </c>
      <c r="L100" s="7">
        <f t="shared" si="7"/>
        <v>0</v>
      </c>
      <c r="M100" s="3" t="s">
        <v>8</v>
      </c>
    </row>
    <row r="101" spans="1:13" x14ac:dyDescent="0.25">
      <c r="A101" s="3">
        <v>2017</v>
      </c>
      <c r="B101" s="3" t="s">
        <v>48</v>
      </c>
      <c r="C101" s="3">
        <v>9</v>
      </c>
      <c r="D101" s="4" t="s">
        <v>42</v>
      </c>
      <c r="E101" s="11" t="s">
        <v>28</v>
      </c>
      <c r="F101" s="11"/>
      <c r="G101" s="11" t="s">
        <v>34</v>
      </c>
      <c r="H101" s="11"/>
      <c r="I101" s="5" t="str">
        <f t="shared" si="4"/>
        <v>Stanček</v>
      </c>
      <c r="J101" s="6" t="str">
        <f t="shared" si="5"/>
        <v>Varga</v>
      </c>
      <c r="K101" s="7">
        <f t="shared" si="6"/>
        <v>1</v>
      </c>
      <c r="L101" s="7">
        <f t="shared" si="7"/>
        <v>0</v>
      </c>
      <c r="M101" s="3" t="s">
        <v>8</v>
      </c>
    </row>
    <row r="102" spans="1:13" x14ac:dyDescent="0.25">
      <c r="A102" s="3">
        <v>2017</v>
      </c>
      <c r="B102" s="3" t="s">
        <v>48</v>
      </c>
      <c r="C102" s="3">
        <v>10</v>
      </c>
      <c r="D102" s="4" t="s">
        <v>42</v>
      </c>
      <c r="E102" s="11" t="s">
        <v>63</v>
      </c>
      <c r="F102" s="11"/>
      <c r="G102" s="11" t="s">
        <v>59</v>
      </c>
      <c r="H102" s="11"/>
      <c r="I102" s="5" t="str">
        <f t="shared" si="4"/>
        <v>Torma</v>
      </c>
      <c r="J102" s="6" t="str">
        <f t="shared" si="5"/>
        <v>Pecha</v>
      </c>
      <c r="K102" s="7">
        <f t="shared" si="6"/>
        <v>1</v>
      </c>
      <c r="L102" s="7">
        <f t="shared" si="7"/>
        <v>0</v>
      </c>
      <c r="M102" s="3" t="s">
        <v>8</v>
      </c>
    </row>
    <row r="103" spans="1:13" x14ac:dyDescent="0.25">
      <c r="A103" s="3">
        <v>2017</v>
      </c>
      <c r="B103" s="3" t="s">
        <v>48</v>
      </c>
      <c r="C103" s="3">
        <v>11</v>
      </c>
      <c r="D103" s="4" t="s">
        <v>42</v>
      </c>
      <c r="E103" s="11" t="s">
        <v>60</v>
      </c>
      <c r="F103" s="11"/>
      <c r="G103" s="11" t="s">
        <v>38</v>
      </c>
      <c r="H103" s="11"/>
      <c r="I103" s="5" t="str">
        <f t="shared" si="4"/>
        <v>Cigáň</v>
      </c>
      <c r="J103" s="6" t="str">
        <f t="shared" si="5"/>
        <v>Segéň</v>
      </c>
      <c r="K103" s="7">
        <f t="shared" si="6"/>
        <v>0</v>
      </c>
      <c r="L103" s="7">
        <f t="shared" si="7"/>
        <v>1</v>
      </c>
      <c r="M103" s="3" t="s">
        <v>9</v>
      </c>
    </row>
    <row r="104" spans="1:13" x14ac:dyDescent="0.25">
      <c r="A104" s="3">
        <v>2017</v>
      </c>
      <c r="B104" s="3" t="s">
        <v>48</v>
      </c>
      <c r="C104" s="3">
        <v>12</v>
      </c>
      <c r="D104" s="4" t="s">
        <v>42</v>
      </c>
      <c r="E104" s="11" t="s">
        <v>45</v>
      </c>
      <c r="F104" s="11"/>
      <c r="G104" s="11" t="s">
        <v>65</v>
      </c>
      <c r="H104" s="11"/>
      <c r="I104" s="5" t="str">
        <f t="shared" si="4"/>
        <v>Farkašovský</v>
      </c>
      <c r="J104" s="6" t="str">
        <f t="shared" si="5"/>
        <v>Očadlík</v>
      </c>
      <c r="K104" s="7">
        <f t="shared" si="6"/>
        <v>0</v>
      </c>
      <c r="L104" s="7">
        <f t="shared" si="7"/>
        <v>1</v>
      </c>
      <c r="M104" s="3" t="s">
        <v>9</v>
      </c>
    </row>
    <row r="105" spans="1:13" x14ac:dyDescent="0.25">
      <c r="A105" s="3">
        <v>2018</v>
      </c>
      <c r="B105" s="3" t="s">
        <v>13</v>
      </c>
      <c r="C105" s="3">
        <v>1</v>
      </c>
      <c r="D105" s="4" t="s">
        <v>14</v>
      </c>
      <c r="E105" s="11" t="s">
        <v>53</v>
      </c>
      <c r="F105" s="11" t="s">
        <v>69</v>
      </c>
      <c r="G105" s="11" t="s">
        <v>61</v>
      </c>
      <c r="H105" s="11" t="s">
        <v>59</v>
      </c>
      <c r="I105" s="5" t="str">
        <f t="shared" si="4"/>
        <v>Machcinik, Šedivý</v>
      </c>
      <c r="J105" s="6" t="str">
        <f t="shared" si="5"/>
        <v>Gotzl, Pecha</v>
      </c>
      <c r="K105" s="7">
        <f t="shared" si="6"/>
        <v>1</v>
      </c>
      <c r="L105" s="7">
        <f t="shared" si="7"/>
        <v>0</v>
      </c>
      <c r="M105" s="3" t="s">
        <v>8</v>
      </c>
    </row>
    <row r="106" spans="1:13" x14ac:dyDescent="0.25">
      <c r="A106" s="3">
        <v>2018</v>
      </c>
      <c r="B106" s="3" t="s">
        <v>13</v>
      </c>
      <c r="C106" s="3">
        <v>2</v>
      </c>
      <c r="D106" s="4" t="s">
        <v>14</v>
      </c>
      <c r="E106" s="11" t="s">
        <v>25</v>
      </c>
      <c r="F106" s="11" t="s">
        <v>28</v>
      </c>
      <c r="G106" s="11" t="s">
        <v>38</v>
      </c>
      <c r="H106" s="11" t="s">
        <v>70</v>
      </c>
      <c r="I106" s="5" t="str">
        <f t="shared" si="4"/>
        <v>Schin, Stanček</v>
      </c>
      <c r="J106" s="6" t="str">
        <f t="shared" si="5"/>
        <v>Segéň, Ševčovic</v>
      </c>
      <c r="K106" s="7">
        <f t="shared" si="6"/>
        <v>0</v>
      </c>
      <c r="L106" s="7">
        <f t="shared" si="7"/>
        <v>1</v>
      </c>
      <c r="M106" s="3" t="s">
        <v>9</v>
      </c>
    </row>
    <row r="107" spans="1:13" x14ac:dyDescent="0.25">
      <c r="A107" s="3">
        <v>2018</v>
      </c>
      <c r="B107" s="3" t="s">
        <v>13</v>
      </c>
      <c r="C107" s="3">
        <v>3</v>
      </c>
      <c r="D107" s="4" t="s">
        <v>14</v>
      </c>
      <c r="E107" s="11" t="s">
        <v>36</v>
      </c>
      <c r="F107" s="11" t="s">
        <v>63</v>
      </c>
      <c r="G107" s="11" t="s">
        <v>46</v>
      </c>
      <c r="H107" s="11" t="s">
        <v>26</v>
      </c>
      <c r="I107" s="5" t="str">
        <f t="shared" si="4"/>
        <v>Kafka, Torma</v>
      </c>
      <c r="J107" s="6" t="str">
        <f t="shared" si="5"/>
        <v>Bielik, Sill</v>
      </c>
      <c r="K107" s="7">
        <f t="shared" si="6"/>
        <v>0</v>
      </c>
      <c r="L107" s="7">
        <f t="shared" si="7"/>
        <v>1</v>
      </c>
      <c r="M107" s="3" t="s">
        <v>9</v>
      </c>
    </row>
    <row r="108" spans="1:13" x14ac:dyDescent="0.25">
      <c r="A108" s="3">
        <v>2018</v>
      </c>
      <c r="B108" s="3" t="s">
        <v>13</v>
      </c>
      <c r="C108" s="3">
        <v>4</v>
      </c>
      <c r="D108" s="4" t="s">
        <v>14</v>
      </c>
      <c r="E108" s="11" t="s">
        <v>55</v>
      </c>
      <c r="F108" s="11" t="s">
        <v>19</v>
      </c>
      <c r="G108" s="11" t="s">
        <v>21</v>
      </c>
      <c r="H108" s="11" t="s">
        <v>27</v>
      </c>
      <c r="I108" s="5" t="str">
        <f t="shared" si="4"/>
        <v>Antala, Segéň</v>
      </c>
      <c r="J108" s="6" t="str">
        <f t="shared" si="5"/>
        <v>Nagy, Ryba</v>
      </c>
      <c r="K108" s="7">
        <f t="shared" si="6"/>
        <v>1</v>
      </c>
      <c r="L108" s="7">
        <f t="shared" si="7"/>
        <v>0</v>
      </c>
      <c r="M108" s="3" t="s">
        <v>8</v>
      </c>
    </row>
    <row r="109" spans="1:13" x14ac:dyDescent="0.25">
      <c r="A109" s="3">
        <v>2018</v>
      </c>
      <c r="B109" s="3" t="s">
        <v>13</v>
      </c>
      <c r="C109" s="3">
        <v>5</v>
      </c>
      <c r="D109" s="4" t="s">
        <v>40</v>
      </c>
      <c r="E109" s="11" t="s">
        <v>24</v>
      </c>
      <c r="F109" s="11" t="s">
        <v>28</v>
      </c>
      <c r="G109" s="11" t="s">
        <v>26</v>
      </c>
      <c r="H109" s="11" t="s">
        <v>70</v>
      </c>
      <c r="I109" s="5" t="str">
        <f t="shared" si="4"/>
        <v>Ličko, Stanček</v>
      </c>
      <c r="J109" s="6" t="str">
        <f t="shared" si="5"/>
        <v>Sill, Ševčovic</v>
      </c>
      <c r="K109" s="7">
        <f t="shared" si="6"/>
        <v>1</v>
      </c>
      <c r="L109" s="7">
        <f t="shared" si="7"/>
        <v>0</v>
      </c>
      <c r="M109" s="3" t="s">
        <v>8</v>
      </c>
    </row>
    <row r="110" spans="1:13" x14ac:dyDescent="0.25">
      <c r="A110" s="3">
        <v>2018</v>
      </c>
      <c r="B110" s="3" t="s">
        <v>13</v>
      </c>
      <c r="C110" s="3">
        <v>6</v>
      </c>
      <c r="D110" s="4" t="s">
        <v>40</v>
      </c>
      <c r="E110" s="11" t="s">
        <v>37</v>
      </c>
      <c r="F110" s="11" t="s">
        <v>19</v>
      </c>
      <c r="G110" s="11" t="s">
        <v>46</v>
      </c>
      <c r="H110" s="11" t="s">
        <v>39</v>
      </c>
      <c r="I110" s="5" t="str">
        <f t="shared" si="4"/>
        <v>Just, Segéň</v>
      </c>
      <c r="J110" s="6" t="str">
        <f t="shared" si="5"/>
        <v>Bielik, Gabura</v>
      </c>
      <c r="K110" s="7">
        <f t="shared" si="6"/>
        <v>0.5</v>
      </c>
      <c r="L110" s="7">
        <f t="shared" si="7"/>
        <v>0.5</v>
      </c>
      <c r="M110" s="3" t="s">
        <v>23</v>
      </c>
    </row>
    <row r="111" spans="1:13" x14ac:dyDescent="0.25">
      <c r="A111" s="3">
        <v>2018</v>
      </c>
      <c r="B111" s="3" t="s">
        <v>13</v>
      </c>
      <c r="C111" s="3">
        <v>7</v>
      </c>
      <c r="D111" s="4" t="s">
        <v>40</v>
      </c>
      <c r="E111" s="11" t="s">
        <v>53</v>
      </c>
      <c r="F111" s="11" t="s">
        <v>25</v>
      </c>
      <c r="G111" s="11" t="s">
        <v>17</v>
      </c>
      <c r="H111" s="11" t="s">
        <v>38</v>
      </c>
      <c r="I111" s="5" t="str">
        <f t="shared" si="4"/>
        <v>Machcinik, Schin</v>
      </c>
      <c r="J111" s="6" t="str">
        <f t="shared" si="5"/>
        <v>Baláž, Segéň</v>
      </c>
      <c r="K111" s="7">
        <f t="shared" si="6"/>
        <v>0</v>
      </c>
      <c r="L111" s="7">
        <f t="shared" si="7"/>
        <v>1</v>
      </c>
      <c r="M111" s="3" t="s">
        <v>9</v>
      </c>
    </row>
    <row r="112" spans="1:13" x14ac:dyDescent="0.25">
      <c r="A112" s="3">
        <v>2018</v>
      </c>
      <c r="B112" s="3" t="s">
        <v>13</v>
      </c>
      <c r="C112" s="3">
        <v>8</v>
      </c>
      <c r="D112" s="4" t="s">
        <v>40</v>
      </c>
      <c r="E112" s="11" t="s">
        <v>55</v>
      </c>
      <c r="F112" s="11" t="s">
        <v>45</v>
      </c>
      <c r="G112" s="11" t="s">
        <v>21</v>
      </c>
      <c r="H112" s="11" t="s">
        <v>22</v>
      </c>
      <c r="I112" s="5" t="str">
        <f t="shared" si="4"/>
        <v>Antala, Farkašovský</v>
      </c>
      <c r="J112" s="6" t="str">
        <f t="shared" si="5"/>
        <v>Nagy, Tarnóczy</v>
      </c>
      <c r="K112" s="7">
        <f t="shared" si="6"/>
        <v>0</v>
      </c>
      <c r="L112" s="7">
        <f t="shared" si="7"/>
        <v>1</v>
      </c>
      <c r="M112" s="3" t="s">
        <v>9</v>
      </c>
    </row>
    <row r="113" spans="1:13" x14ac:dyDescent="0.25">
      <c r="A113" s="3">
        <v>2018</v>
      </c>
      <c r="B113" s="3" t="s">
        <v>41</v>
      </c>
      <c r="C113" s="3">
        <v>1</v>
      </c>
      <c r="D113" s="4" t="s">
        <v>14</v>
      </c>
      <c r="E113" s="11" t="s">
        <v>55</v>
      </c>
      <c r="F113" s="11" t="s">
        <v>25</v>
      </c>
      <c r="G113" s="11" t="s">
        <v>61</v>
      </c>
      <c r="H113" s="11" t="s">
        <v>22</v>
      </c>
      <c r="I113" s="5" t="str">
        <f t="shared" si="4"/>
        <v>Antala, Schin</v>
      </c>
      <c r="J113" s="6" t="str">
        <f t="shared" si="5"/>
        <v>Gotzl, Tarnóczy</v>
      </c>
      <c r="K113" s="7">
        <f t="shared" si="6"/>
        <v>1</v>
      </c>
      <c r="L113" s="7">
        <f t="shared" si="7"/>
        <v>0</v>
      </c>
      <c r="M113" s="3" t="s">
        <v>8</v>
      </c>
    </row>
    <row r="114" spans="1:13" x14ac:dyDescent="0.25">
      <c r="A114" s="3">
        <v>2018</v>
      </c>
      <c r="B114" s="3" t="s">
        <v>41</v>
      </c>
      <c r="C114" s="3">
        <v>2</v>
      </c>
      <c r="D114" s="4" t="s">
        <v>14</v>
      </c>
      <c r="E114" s="11" t="s">
        <v>19</v>
      </c>
      <c r="F114" s="11" t="s">
        <v>63</v>
      </c>
      <c r="G114" s="11" t="s">
        <v>38</v>
      </c>
      <c r="H114" s="11" t="s">
        <v>70</v>
      </c>
      <c r="I114" s="5" t="str">
        <f t="shared" si="4"/>
        <v>Segéň, Torma</v>
      </c>
      <c r="J114" s="6" t="str">
        <f t="shared" si="5"/>
        <v>Segéň, Ševčovic</v>
      </c>
      <c r="K114" s="7">
        <f t="shared" si="6"/>
        <v>1</v>
      </c>
      <c r="L114" s="7">
        <f t="shared" si="7"/>
        <v>0</v>
      </c>
      <c r="M114" s="3" t="s">
        <v>8</v>
      </c>
    </row>
    <row r="115" spans="1:13" x14ac:dyDescent="0.25">
      <c r="A115" s="3">
        <v>2018</v>
      </c>
      <c r="B115" s="3" t="s">
        <v>41</v>
      </c>
      <c r="C115" s="3">
        <v>3</v>
      </c>
      <c r="D115" s="4" t="s">
        <v>14</v>
      </c>
      <c r="E115" s="11" t="s">
        <v>24</v>
      </c>
      <c r="F115" s="11" t="s">
        <v>28</v>
      </c>
      <c r="G115" s="11" t="s">
        <v>21</v>
      </c>
      <c r="H115" s="11" t="s">
        <v>27</v>
      </c>
      <c r="I115" s="5" t="str">
        <f t="shared" si="4"/>
        <v>Ličko, Stanček</v>
      </c>
      <c r="J115" s="6" t="str">
        <f t="shared" si="5"/>
        <v>Nagy, Ryba</v>
      </c>
      <c r="K115" s="7">
        <f t="shared" si="6"/>
        <v>0</v>
      </c>
      <c r="L115" s="7">
        <f t="shared" si="7"/>
        <v>1</v>
      </c>
      <c r="M115" s="3" t="s">
        <v>9</v>
      </c>
    </row>
    <row r="116" spans="1:13" x14ac:dyDescent="0.25">
      <c r="A116" s="3">
        <v>2018</v>
      </c>
      <c r="B116" s="3" t="s">
        <v>41</v>
      </c>
      <c r="C116" s="3">
        <v>4</v>
      </c>
      <c r="D116" s="4" t="s">
        <v>14</v>
      </c>
      <c r="E116" s="11" t="s">
        <v>53</v>
      </c>
      <c r="F116" s="11" t="s">
        <v>69</v>
      </c>
      <c r="G116" s="11" t="s">
        <v>46</v>
      </c>
      <c r="H116" s="11" t="s">
        <v>26</v>
      </c>
      <c r="I116" s="5" t="str">
        <f t="shared" si="4"/>
        <v>Machcinik, Šedivý</v>
      </c>
      <c r="J116" s="6" t="str">
        <f t="shared" si="5"/>
        <v>Bielik, Sill</v>
      </c>
      <c r="K116" s="7">
        <f t="shared" si="6"/>
        <v>1</v>
      </c>
      <c r="L116" s="7">
        <f t="shared" si="7"/>
        <v>0</v>
      </c>
      <c r="M116" s="3" t="s">
        <v>8</v>
      </c>
    </row>
    <row r="117" spans="1:13" x14ac:dyDescent="0.25">
      <c r="A117" s="3">
        <v>2018</v>
      </c>
      <c r="B117" s="3" t="s">
        <v>41</v>
      </c>
      <c r="C117" s="3">
        <v>5</v>
      </c>
      <c r="D117" s="4" t="s">
        <v>40</v>
      </c>
      <c r="E117" s="11" t="s">
        <v>37</v>
      </c>
      <c r="F117" s="11" t="s">
        <v>19</v>
      </c>
      <c r="G117" s="11" t="s">
        <v>21</v>
      </c>
      <c r="H117" s="11" t="s">
        <v>38</v>
      </c>
      <c r="I117" s="5" t="str">
        <f t="shared" si="4"/>
        <v>Just, Segéň</v>
      </c>
      <c r="J117" s="6" t="str">
        <f t="shared" si="5"/>
        <v>Nagy, Segéň</v>
      </c>
      <c r="K117" s="7">
        <f t="shared" si="6"/>
        <v>1</v>
      </c>
      <c r="L117" s="7">
        <f t="shared" si="7"/>
        <v>0</v>
      </c>
      <c r="M117" s="3" t="s">
        <v>8</v>
      </c>
    </row>
    <row r="118" spans="1:13" x14ac:dyDescent="0.25">
      <c r="A118" s="3">
        <v>2018</v>
      </c>
      <c r="B118" s="3" t="s">
        <v>41</v>
      </c>
      <c r="C118" s="3">
        <v>6</v>
      </c>
      <c r="D118" s="4" t="s">
        <v>40</v>
      </c>
      <c r="E118" s="11" t="s">
        <v>36</v>
      </c>
      <c r="F118" s="11" t="s">
        <v>16</v>
      </c>
      <c r="G118" s="11" t="s">
        <v>17</v>
      </c>
      <c r="H118" s="11" t="s">
        <v>59</v>
      </c>
      <c r="I118" s="5" t="str">
        <f t="shared" si="4"/>
        <v>Kafka, Novák</v>
      </c>
      <c r="J118" s="6" t="str">
        <f t="shared" si="5"/>
        <v>Baláž, Pecha</v>
      </c>
      <c r="K118" s="7">
        <f t="shared" si="6"/>
        <v>0</v>
      </c>
      <c r="L118" s="7">
        <f t="shared" si="7"/>
        <v>1</v>
      </c>
      <c r="M118" s="3" t="s">
        <v>9</v>
      </c>
    </row>
    <row r="119" spans="1:13" x14ac:dyDescent="0.25">
      <c r="A119" s="3">
        <v>2018</v>
      </c>
      <c r="B119" s="3" t="s">
        <v>41</v>
      </c>
      <c r="C119" s="3">
        <v>7</v>
      </c>
      <c r="D119" s="4" t="s">
        <v>40</v>
      </c>
      <c r="E119" s="11" t="s">
        <v>55</v>
      </c>
      <c r="F119" s="11" t="s">
        <v>45</v>
      </c>
      <c r="G119" s="11" t="s">
        <v>46</v>
      </c>
      <c r="H119" s="11" t="s">
        <v>27</v>
      </c>
      <c r="I119" s="5" t="str">
        <f t="shared" si="4"/>
        <v>Antala, Farkašovský</v>
      </c>
      <c r="J119" s="6" t="str">
        <f t="shared" si="5"/>
        <v>Bielik, Ryba</v>
      </c>
      <c r="K119" s="7">
        <f t="shared" si="6"/>
        <v>1</v>
      </c>
      <c r="L119" s="7">
        <f t="shared" si="7"/>
        <v>0</v>
      </c>
      <c r="M119" s="3" t="s">
        <v>8</v>
      </c>
    </row>
    <row r="120" spans="1:13" x14ac:dyDescent="0.25">
      <c r="A120" s="3">
        <v>2018</v>
      </c>
      <c r="B120" s="3" t="s">
        <v>41</v>
      </c>
      <c r="C120" s="3">
        <v>8</v>
      </c>
      <c r="D120" s="4" t="s">
        <v>40</v>
      </c>
      <c r="E120" s="11" t="s">
        <v>25</v>
      </c>
      <c r="F120" s="11" t="s">
        <v>28</v>
      </c>
      <c r="G120" s="11" t="s">
        <v>39</v>
      </c>
      <c r="H120" s="11" t="s">
        <v>61</v>
      </c>
      <c r="I120" s="5" t="str">
        <f t="shared" si="4"/>
        <v>Schin, Stanček</v>
      </c>
      <c r="J120" s="6" t="str">
        <f t="shared" si="5"/>
        <v>Gabura, Gotzl</v>
      </c>
      <c r="K120" s="7">
        <f t="shared" si="6"/>
        <v>0</v>
      </c>
      <c r="L120" s="7">
        <f t="shared" si="7"/>
        <v>1</v>
      </c>
      <c r="M120" s="3" t="s">
        <v>9</v>
      </c>
    </row>
    <row r="121" spans="1:13" x14ac:dyDescent="0.25">
      <c r="A121" s="3">
        <v>2018</v>
      </c>
      <c r="B121" s="3" t="s">
        <v>48</v>
      </c>
      <c r="C121" s="3">
        <v>1</v>
      </c>
      <c r="D121" s="4" t="s">
        <v>42</v>
      </c>
      <c r="E121" s="11" t="s">
        <v>16</v>
      </c>
      <c r="F121" s="11"/>
      <c r="G121" s="11" t="s">
        <v>61</v>
      </c>
      <c r="H121" s="11"/>
      <c r="I121" s="5" t="str">
        <f t="shared" si="4"/>
        <v>Novák</v>
      </c>
      <c r="J121" s="6" t="str">
        <f t="shared" si="5"/>
        <v>Gotzl</v>
      </c>
      <c r="K121" s="7">
        <f t="shared" si="6"/>
        <v>0</v>
      </c>
      <c r="L121" s="7">
        <f t="shared" si="7"/>
        <v>1</v>
      </c>
      <c r="M121" s="3" t="s">
        <v>9</v>
      </c>
    </row>
    <row r="122" spans="1:13" x14ac:dyDescent="0.25">
      <c r="A122" s="3">
        <v>2018</v>
      </c>
      <c r="B122" s="3" t="s">
        <v>48</v>
      </c>
      <c r="C122" s="3">
        <v>2</v>
      </c>
      <c r="D122" s="4" t="s">
        <v>42</v>
      </c>
      <c r="E122" s="11" t="s">
        <v>37</v>
      </c>
      <c r="F122" s="11"/>
      <c r="G122" s="11" t="s">
        <v>39</v>
      </c>
      <c r="H122" s="11"/>
      <c r="I122" s="5" t="str">
        <f t="shared" si="4"/>
        <v>Just</v>
      </c>
      <c r="J122" s="6" t="str">
        <f t="shared" si="5"/>
        <v>Gabura</v>
      </c>
      <c r="K122" s="7">
        <f t="shared" si="6"/>
        <v>0.5</v>
      </c>
      <c r="L122" s="7">
        <f t="shared" si="7"/>
        <v>0.5</v>
      </c>
      <c r="M122" s="3" t="s">
        <v>23</v>
      </c>
    </row>
    <row r="123" spans="1:13" x14ac:dyDescent="0.25">
      <c r="A123" s="3">
        <v>2018</v>
      </c>
      <c r="B123" s="3" t="s">
        <v>48</v>
      </c>
      <c r="C123" s="3">
        <v>3</v>
      </c>
      <c r="D123" s="4" t="s">
        <v>42</v>
      </c>
      <c r="E123" s="11" t="s">
        <v>69</v>
      </c>
      <c r="F123" s="11"/>
      <c r="G123" s="11" t="s">
        <v>26</v>
      </c>
      <c r="H123" s="11"/>
      <c r="I123" s="5" t="str">
        <f t="shared" si="4"/>
        <v>Šedivý</v>
      </c>
      <c r="J123" s="6" t="str">
        <f t="shared" si="5"/>
        <v>Sill</v>
      </c>
      <c r="K123" s="7">
        <f t="shared" si="6"/>
        <v>1</v>
      </c>
      <c r="L123" s="7">
        <f t="shared" si="7"/>
        <v>0</v>
      </c>
      <c r="M123" s="3" t="s">
        <v>8</v>
      </c>
    </row>
    <row r="124" spans="1:13" x14ac:dyDescent="0.25">
      <c r="A124" s="3">
        <v>2018</v>
      </c>
      <c r="B124" s="3" t="s">
        <v>48</v>
      </c>
      <c r="C124" s="3">
        <v>4</v>
      </c>
      <c r="D124" s="4" t="s">
        <v>42</v>
      </c>
      <c r="E124" s="11" t="s">
        <v>53</v>
      </c>
      <c r="F124" s="11"/>
      <c r="G124" s="11" t="s">
        <v>38</v>
      </c>
      <c r="H124" s="11"/>
      <c r="I124" s="5" t="str">
        <f t="shared" si="4"/>
        <v>Machcinik</v>
      </c>
      <c r="J124" s="6" t="str">
        <f t="shared" si="5"/>
        <v>Segéň</v>
      </c>
      <c r="K124" s="7">
        <f t="shared" si="6"/>
        <v>1</v>
      </c>
      <c r="L124" s="7">
        <f t="shared" si="7"/>
        <v>0</v>
      </c>
      <c r="M124" s="3" t="s">
        <v>8</v>
      </c>
    </row>
    <row r="125" spans="1:13" x14ac:dyDescent="0.25">
      <c r="A125" s="3">
        <v>2018</v>
      </c>
      <c r="B125" s="3" t="s">
        <v>48</v>
      </c>
      <c r="C125" s="3">
        <v>5</v>
      </c>
      <c r="D125" s="4" t="s">
        <v>42</v>
      </c>
      <c r="E125" s="11" t="s">
        <v>28</v>
      </c>
      <c r="F125" s="11"/>
      <c r="G125" s="11" t="s">
        <v>71</v>
      </c>
      <c r="H125" s="11"/>
      <c r="I125" s="5" t="str">
        <f t="shared" si="4"/>
        <v>Stanček</v>
      </c>
      <c r="J125" s="6" t="str">
        <f t="shared" si="5"/>
        <v>Pospíšil</v>
      </c>
      <c r="K125" s="7">
        <f t="shared" si="6"/>
        <v>1</v>
      </c>
      <c r="L125" s="7">
        <f t="shared" si="7"/>
        <v>0</v>
      </c>
      <c r="M125" s="3" t="s">
        <v>8</v>
      </c>
    </row>
    <row r="126" spans="1:13" x14ac:dyDescent="0.25">
      <c r="A126" s="3">
        <v>2018</v>
      </c>
      <c r="B126" s="3" t="s">
        <v>48</v>
      </c>
      <c r="C126" s="3">
        <v>6</v>
      </c>
      <c r="D126" s="4" t="s">
        <v>42</v>
      </c>
      <c r="E126" s="11" t="s">
        <v>24</v>
      </c>
      <c r="F126" s="11"/>
      <c r="G126" s="11" t="s">
        <v>70</v>
      </c>
      <c r="H126" s="11"/>
      <c r="I126" s="5" t="str">
        <f t="shared" si="4"/>
        <v>Ličko</v>
      </c>
      <c r="J126" s="6" t="str">
        <f t="shared" si="5"/>
        <v>Ševčovic</v>
      </c>
      <c r="K126" s="7">
        <f t="shared" si="6"/>
        <v>1</v>
      </c>
      <c r="L126" s="7">
        <f t="shared" si="7"/>
        <v>0</v>
      </c>
      <c r="M126" s="3" t="s">
        <v>8</v>
      </c>
    </row>
    <row r="127" spans="1:13" x14ac:dyDescent="0.25">
      <c r="A127" s="3">
        <v>2018</v>
      </c>
      <c r="B127" s="3" t="s">
        <v>48</v>
      </c>
      <c r="C127" s="3">
        <v>7</v>
      </c>
      <c r="D127" s="4" t="s">
        <v>42</v>
      </c>
      <c r="E127" s="11" t="s">
        <v>45</v>
      </c>
      <c r="F127" s="11"/>
      <c r="G127" s="11" t="s">
        <v>22</v>
      </c>
      <c r="H127" s="11"/>
      <c r="I127" s="5" t="str">
        <f t="shared" si="4"/>
        <v>Farkašovský</v>
      </c>
      <c r="J127" s="6" t="str">
        <f t="shared" si="5"/>
        <v>Tarnóczy</v>
      </c>
      <c r="K127" s="7">
        <f t="shared" si="6"/>
        <v>1</v>
      </c>
      <c r="L127" s="7">
        <f t="shared" si="7"/>
        <v>0</v>
      </c>
      <c r="M127" s="3" t="s">
        <v>8</v>
      </c>
    </row>
    <row r="128" spans="1:13" x14ac:dyDescent="0.25">
      <c r="A128" s="3">
        <v>2018</v>
      </c>
      <c r="B128" s="3" t="s">
        <v>48</v>
      </c>
      <c r="C128" s="3">
        <v>8</v>
      </c>
      <c r="D128" s="4" t="s">
        <v>42</v>
      </c>
      <c r="E128" s="11" t="s">
        <v>55</v>
      </c>
      <c r="F128" s="11"/>
      <c r="G128" s="11" t="s">
        <v>21</v>
      </c>
      <c r="H128" s="11"/>
      <c r="I128" s="5" t="str">
        <f t="shared" si="4"/>
        <v>Antala</v>
      </c>
      <c r="J128" s="6" t="str">
        <f t="shared" si="5"/>
        <v>Nagy</v>
      </c>
      <c r="K128" s="7">
        <f t="shared" si="6"/>
        <v>1</v>
      </c>
      <c r="L128" s="7">
        <f t="shared" si="7"/>
        <v>0</v>
      </c>
      <c r="M128" s="3" t="s">
        <v>8</v>
      </c>
    </row>
    <row r="129" spans="1:13" x14ac:dyDescent="0.25">
      <c r="A129" s="3">
        <v>2018</v>
      </c>
      <c r="B129" s="3" t="s">
        <v>48</v>
      </c>
      <c r="C129" s="3">
        <v>9</v>
      </c>
      <c r="D129" s="4" t="s">
        <v>42</v>
      </c>
      <c r="E129" s="11" t="s">
        <v>19</v>
      </c>
      <c r="F129" s="11"/>
      <c r="G129" s="11" t="s">
        <v>59</v>
      </c>
      <c r="H129" s="11"/>
      <c r="I129" s="5" t="str">
        <f t="shared" si="4"/>
        <v>Segéň</v>
      </c>
      <c r="J129" s="6" t="str">
        <f t="shared" si="5"/>
        <v>Pecha</v>
      </c>
      <c r="K129" s="7">
        <f t="shared" si="6"/>
        <v>1</v>
      </c>
      <c r="L129" s="7">
        <f t="shared" si="7"/>
        <v>0</v>
      </c>
      <c r="M129" s="3" t="s">
        <v>8</v>
      </c>
    </row>
    <row r="130" spans="1:13" x14ac:dyDescent="0.25">
      <c r="A130" s="3">
        <v>2018</v>
      </c>
      <c r="B130" s="3" t="s">
        <v>48</v>
      </c>
      <c r="C130" s="3">
        <v>10</v>
      </c>
      <c r="D130" s="4" t="s">
        <v>42</v>
      </c>
      <c r="E130" s="11" t="s">
        <v>25</v>
      </c>
      <c r="F130" s="11"/>
      <c r="G130" s="11" t="s">
        <v>27</v>
      </c>
      <c r="H130" s="11"/>
      <c r="I130" s="5" t="str">
        <f t="shared" si="4"/>
        <v>Schin</v>
      </c>
      <c r="J130" s="6" t="str">
        <f t="shared" si="5"/>
        <v>Ryba</v>
      </c>
      <c r="K130" s="7">
        <f t="shared" si="6"/>
        <v>1</v>
      </c>
      <c r="L130" s="7">
        <f t="shared" si="7"/>
        <v>0</v>
      </c>
      <c r="M130" s="3" t="s">
        <v>8</v>
      </c>
    </row>
    <row r="131" spans="1:13" x14ac:dyDescent="0.25">
      <c r="A131" s="3">
        <v>2018</v>
      </c>
      <c r="B131" s="3" t="s">
        <v>48</v>
      </c>
      <c r="C131" s="3">
        <v>11</v>
      </c>
      <c r="D131" s="4" t="s">
        <v>42</v>
      </c>
      <c r="E131" s="11" t="s">
        <v>36</v>
      </c>
      <c r="F131" s="11"/>
      <c r="G131" s="11" t="s">
        <v>46</v>
      </c>
      <c r="H131" s="11"/>
      <c r="I131" s="5" t="str">
        <f t="shared" ref="I131:I194" si="8">IF(E131&gt;" ",IF(SEARCH(" ",E131)&gt;0,LEFT(E131,SEARCH(" ",E131)-1)) &amp; IF(F131&gt;" ",", " &amp; IF(SEARCH(" ",F131)&gt;0, LEFT(F131,SEARCH(" ",F131)-1)),""),"")</f>
        <v>Kafka</v>
      </c>
      <c r="J131" s="6" t="str">
        <f t="shared" ref="J131:J194" si="9">IF(G131&gt;" ",IF(SEARCH(" ",G131)&gt;0,LEFT(G131,SEARCH(" ",G131)-1)) &amp; IF(H131&gt;" ",", " &amp; IF(SEARCH(" ",H131)&gt;0, LEFT(H131,SEARCH(" ",H131)-1)),""),"")</f>
        <v>Bielik</v>
      </c>
      <c r="K131" s="7">
        <f t="shared" ref="K131:K194" si="10">IF(M131="Lefties",1,IF(M131="Righties",0,IF(M131="A/S",1/2,"")))</f>
        <v>1</v>
      </c>
      <c r="L131" s="7">
        <f t="shared" ref="L131:L194" si="11">IF(M131="Righties",1,IF(M131="Lefties",0,IF(M131="A/S",1/2,"")))</f>
        <v>0</v>
      </c>
      <c r="M131" s="3" t="s">
        <v>8</v>
      </c>
    </row>
    <row r="132" spans="1:13" x14ac:dyDescent="0.25">
      <c r="A132" s="3">
        <v>2018</v>
      </c>
      <c r="B132" s="3" t="s">
        <v>48</v>
      </c>
      <c r="C132" s="3">
        <v>12</v>
      </c>
      <c r="D132" s="4" t="s">
        <v>42</v>
      </c>
      <c r="E132" s="11" t="s">
        <v>63</v>
      </c>
      <c r="F132" s="11"/>
      <c r="G132" s="11" t="s">
        <v>17</v>
      </c>
      <c r="H132" s="11"/>
      <c r="I132" s="5" t="str">
        <f t="shared" si="8"/>
        <v>Torma</v>
      </c>
      <c r="J132" s="6" t="str">
        <f t="shared" si="9"/>
        <v>Baláž</v>
      </c>
      <c r="K132" s="7">
        <f t="shared" si="10"/>
        <v>0</v>
      </c>
      <c r="L132" s="7">
        <f t="shared" si="11"/>
        <v>1</v>
      </c>
      <c r="M132" s="3" t="s">
        <v>9</v>
      </c>
    </row>
    <row r="133" spans="1:13" x14ac:dyDescent="0.25">
      <c r="A133" s="3">
        <v>2019</v>
      </c>
      <c r="B133" s="3" t="s">
        <v>13</v>
      </c>
      <c r="C133" s="3">
        <v>1</v>
      </c>
      <c r="D133" s="4" t="s">
        <v>14</v>
      </c>
      <c r="E133" s="11" t="s">
        <v>19</v>
      </c>
      <c r="F133" s="11" t="s">
        <v>63</v>
      </c>
      <c r="G133" s="11" t="s">
        <v>17</v>
      </c>
      <c r="H133" s="11" t="s">
        <v>72</v>
      </c>
      <c r="I133" s="5" t="str">
        <f t="shared" si="8"/>
        <v>Segéň, Torma</v>
      </c>
      <c r="J133" s="6" t="str">
        <f t="shared" si="9"/>
        <v>Baláž, Kokoš</v>
      </c>
      <c r="K133" s="7">
        <f t="shared" si="10"/>
        <v>0</v>
      </c>
      <c r="L133" s="7">
        <f t="shared" si="11"/>
        <v>1</v>
      </c>
      <c r="M133" s="3" t="s">
        <v>9</v>
      </c>
    </row>
    <row r="134" spans="1:13" x14ac:dyDescent="0.25">
      <c r="A134" s="3">
        <v>2019</v>
      </c>
      <c r="B134" s="3" t="s">
        <v>13</v>
      </c>
      <c r="C134" s="3">
        <v>2</v>
      </c>
      <c r="D134" s="4" t="s">
        <v>14</v>
      </c>
      <c r="E134" s="11" t="s">
        <v>73</v>
      </c>
      <c r="F134" s="11" t="s">
        <v>28</v>
      </c>
      <c r="G134" s="11" t="s">
        <v>46</v>
      </c>
      <c r="H134" s="11" t="s">
        <v>27</v>
      </c>
      <c r="I134" s="5" t="str">
        <f t="shared" si="8"/>
        <v>Krajčík, Stanček</v>
      </c>
      <c r="J134" s="6" t="str">
        <f t="shared" si="9"/>
        <v>Bielik, Ryba</v>
      </c>
      <c r="K134" s="7">
        <f t="shared" si="10"/>
        <v>0</v>
      </c>
      <c r="L134" s="7">
        <f t="shared" si="11"/>
        <v>1</v>
      </c>
      <c r="M134" s="3" t="s">
        <v>9</v>
      </c>
    </row>
    <row r="135" spans="1:13" x14ac:dyDescent="0.25">
      <c r="A135" s="3">
        <v>2019</v>
      </c>
      <c r="B135" s="3" t="s">
        <v>13</v>
      </c>
      <c r="C135" s="3">
        <v>3</v>
      </c>
      <c r="D135" s="4" t="s">
        <v>14</v>
      </c>
      <c r="E135" s="11" t="s">
        <v>74</v>
      </c>
      <c r="F135" s="11" t="s">
        <v>25</v>
      </c>
      <c r="G135" s="11" t="s">
        <v>75</v>
      </c>
      <c r="H135" s="11" t="s">
        <v>38</v>
      </c>
      <c r="I135" s="5" t="str">
        <f t="shared" si="8"/>
        <v>Benčík, Schin</v>
      </c>
      <c r="J135" s="6" t="str">
        <f t="shared" si="9"/>
        <v>Achimský, Segéň</v>
      </c>
      <c r="K135" s="7">
        <f t="shared" si="10"/>
        <v>0</v>
      </c>
      <c r="L135" s="7">
        <f t="shared" si="11"/>
        <v>1</v>
      </c>
      <c r="M135" s="3" t="s">
        <v>9</v>
      </c>
    </row>
    <row r="136" spans="1:13" x14ac:dyDescent="0.25">
      <c r="A136" s="3">
        <v>2019</v>
      </c>
      <c r="B136" s="3" t="s">
        <v>13</v>
      </c>
      <c r="C136" s="3">
        <v>4</v>
      </c>
      <c r="D136" s="4" t="s">
        <v>14</v>
      </c>
      <c r="E136" s="11" t="s">
        <v>24</v>
      </c>
      <c r="F136" s="11" t="s">
        <v>76</v>
      </c>
      <c r="G136" s="11" t="s">
        <v>49</v>
      </c>
      <c r="H136" s="11" t="s">
        <v>50</v>
      </c>
      <c r="I136" s="5" t="str">
        <f t="shared" si="8"/>
        <v>Ličko, Šindelár</v>
      </c>
      <c r="J136" s="6" t="str">
        <f t="shared" si="9"/>
        <v>Beňo, Polák</v>
      </c>
      <c r="K136" s="7">
        <f t="shared" si="10"/>
        <v>0</v>
      </c>
      <c r="L136" s="7">
        <f t="shared" si="11"/>
        <v>1</v>
      </c>
      <c r="M136" s="3" t="s">
        <v>9</v>
      </c>
    </row>
    <row r="137" spans="1:13" x14ac:dyDescent="0.25">
      <c r="A137" s="3">
        <v>2019</v>
      </c>
      <c r="B137" s="3" t="s">
        <v>13</v>
      </c>
      <c r="C137" s="3">
        <v>5</v>
      </c>
      <c r="D137" s="4" t="s">
        <v>40</v>
      </c>
      <c r="E137" s="11" t="s">
        <v>36</v>
      </c>
      <c r="F137" s="11" t="s">
        <v>28</v>
      </c>
      <c r="G137" s="11" t="s">
        <v>61</v>
      </c>
      <c r="H137" s="11" t="s">
        <v>59</v>
      </c>
      <c r="I137" s="5" t="str">
        <f t="shared" si="8"/>
        <v>Kafka, Stanček</v>
      </c>
      <c r="J137" s="6" t="str">
        <f t="shared" si="9"/>
        <v>Gotzl, Pecha</v>
      </c>
      <c r="K137" s="7">
        <f t="shared" si="10"/>
        <v>0</v>
      </c>
      <c r="L137" s="7">
        <f t="shared" si="11"/>
        <v>1</v>
      </c>
      <c r="M137" s="3" t="s">
        <v>9</v>
      </c>
    </row>
    <row r="138" spans="1:13" x14ac:dyDescent="0.25">
      <c r="A138" s="3">
        <v>2019</v>
      </c>
      <c r="B138" s="3" t="s">
        <v>13</v>
      </c>
      <c r="C138" s="3">
        <v>6</v>
      </c>
      <c r="D138" s="4" t="s">
        <v>40</v>
      </c>
      <c r="E138" s="11" t="s">
        <v>37</v>
      </c>
      <c r="F138" s="11" t="s">
        <v>19</v>
      </c>
      <c r="G138" s="11" t="s">
        <v>46</v>
      </c>
      <c r="H138" s="11" t="s">
        <v>26</v>
      </c>
      <c r="I138" s="5" t="str">
        <f t="shared" si="8"/>
        <v>Just, Segéň</v>
      </c>
      <c r="J138" s="6" t="str">
        <f t="shared" si="9"/>
        <v>Bielik, Sill</v>
      </c>
      <c r="K138" s="7">
        <f t="shared" si="10"/>
        <v>0</v>
      </c>
      <c r="L138" s="7">
        <f t="shared" si="11"/>
        <v>1</v>
      </c>
      <c r="M138" s="3" t="s">
        <v>9</v>
      </c>
    </row>
    <row r="139" spans="1:13" x14ac:dyDescent="0.25">
      <c r="A139" s="3">
        <v>2019</v>
      </c>
      <c r="B139" s="3" t="s">
        <v>13</v>
      </c>
      <c r="C139" s="3">
        <v>7</v>
      </c>
      <c r="D139" s="4" t="s">
        <v>40</v>
      </c>
      <c r="E139" s="11" t="s">
        <v>73</v>
      </c>
      <c r="F139" s="11" t="s">
        <v>53</v>
      </c>
      <c r="G139" s="11" t="s">
        <v>72</v>
      </c>
      <c r="H139" s="11" t="s">
        <v>22</v>
      </c>
      <c r="I139" s="5" t="str">
        <f t="shared" si="8"/>
        <v>Krajčík, Machcinik</v>
      </c>
      <c r="J139" s="6" t="str">
        <f t="shared" si="9"/>
        <v>Kokoš, Tarnóczy</v>
      </c>
      <c r="K139" s="7">
        <f t="shared" si="10"/>
        <v>1</v>
      </c>
      <c r="L139" s="7">
        <f t="shared" si="11"/>
        <v>0</v>
      </c>
      <c r="M139" s="3" t="s">
        <v>8</v>
      </c>
    </row>
    <row r="140" spans="1:13" x14ac:dyDescent="0.25">
      <c r="A140" s="3">
        <v>2019</v>
      </c>
      <c r="B140" s="3" t="s">
        <v>13</v>
      </c>
      <c r="C140" s="3">
        <v>8</v>
      </c>
      <c r="D140" s="4" t="s">
        <v>40</v>
      </c>
      <c r="E140" s="11" t="s">
        <v>69</v>
      </c>
      <c r="F140" s="11" t="s">
        <v>76</v>
      </c>
      <c r="G140" s="11" t="s">
        <v>49</v>
      </c>
      <c r="H140" s="11" t="s">
        <v>38</v>
      </c>
      <c r="I140" s="5" t="str">
        <f t="shared" si="8"/>
        <v>Šedivý, Šindelár</v>
      </c>
      <c r="J140" s="6" t="str">
        <f t="shared" si="9"/>
        <v>Beňo, Segéň</v>
      </c>
      <c r="K140" s="7">
        <f t="shared" si="10"/>
        <v>0</v>
      </c>
      <c r="L140" s="7">
        <f t="shared" si="11"/>
        <v>1</v>
      </c>
      <c r="M140" s="3" t="s">
        <v>9</v>
      </c>
    </row>
    <row r="141" spans="1:13" x14ac:dyDescent="0.25">
      <c r="A141" s="3">
        <v>2019</v>
      </c>
      <c r="B141" s="3" t="s">
        <v>41</v>
      </c>
      <c r="C141" s="3">
        <v>1</v>
      </c>
      <c r="D141" s="4" t="s">
        <v>14</v>
      </c>
      <c r="E141" s="11" t="s">
        <v>53</v>
      </c>
      <c r="F141" s="11" t="s">
        <v>69</v>
      </c>
      <c r="G141" s="11" t="s">
        <v>75</v>
      </c>
      <c r="H141" s="11" t="s">
        <v>38</v>
      </c>
      <c r="I141" s="5" t="str">
        <f t="shared" si="8"/>
        <v>Machcinik, Šedivý</v>
      </c>
      <c r="J141" s="6" t="str">
        <f t="shared" si="9"/>
        <v>Achimský, Segéň</v>
      </c>
      <c r="K141" s="7">
        <f t="shared" si="10"/>
        <v>1</v>
      </c>
      <c r="L141" s="7">
        <f t="shared" si="11"/>
        <v>0</v>
      </c>
      <c r="M141" s="3" t="s">
        <v>8</v>
      </c>
    </row>
    <row r="142" spans="1:13" x14ac:dyDescent="0.25">
      <c r="A142" s="3">
        <v>2019</v>
      </c>
      <c r="B142" s="3" t="s">
        <v>41</v>
      </c>
      <c r="C142" s="3">
        <v>2</v>
      </c>
      <c r="D142" s="4" t="s">
        <v>14</v>
      </c>
      <c r="E142" s="11" t="s">
        <v>74</v>
      </c>
      <c r="F142" s="11" t="s">
        <v>25</v>
      </c>
      <c r="G142" s="11" t="s">
        <v>46</v>
      </c>
      <c r="H142" s="11" t="s">
        <v>27</v>
      </c>
      <c r="I142" s="5" t="str">
        <f t="shared" si="8"/>
        <v>Benčík, Schin</v>
      </c>
      <c r="J142" s="6" t="str">
        <f t="shared" si="9"/>
        <v>Bielik, Ryba</v>
      </c>
      <c r="K142" s="7">
        <f t="shared" si="10"/>
        <v>1</v>
      </c>
      <c r="L142" s="7">
        <f t="shared" si="11"/>
        <v>0</v>
      </c>
      <c r="M142" s="3" t="s">
        <v>8</v>
      </c>
    </row>
    <row r="143" spans="1:13" x14ac:dyDescent="0.25">
      <c r="A143" s="3">
        <v>2019</v>
      </c>
      <c r="B143" s="3" t="s">
        <v>41</v>
      </c>
      <c r="C143" s="3">
        <v>3</v>
      </c>
      <c r="D143" s="4" t="s">
        <v>14</v>
      </c>
      <c r="E143" s="11" t="s">
        <v>73</v>
      </c>
      <c r="F143" s="11" t="s">
        <v>19</v>
      </c>
      <c r="G143" s="11" t="s">
        <v>17</v>
      </c>
      <c r="H143" s="11" t="s">
        <v>26</v>
      </c>
      <c r="I143" s="5" t="str">
        <f t="shared" si="8"/>
        <v>Krajčík, Segéň</v>
      </c>
      <c r="J143" s="6" t="str">
        <f t="shared" si="9"/>
        <v>Baláž, Sill</v>
      </c>
      <c r="K143" s="7">
        <f t="shared" si="10"/>
        <v>0</v>
      </c>
      <c r="L143" s="7">
        <f t="shared" si="11"/>
        <v>1</v>
      </c>
      <c r="M143" s="3" t="s">
        <v>9</v>
      </c>
    </row>
    <row r="144" spans="1:13" x14ac:dyDescent="0.25">
      <c r="A144" s="3">
        <v>2019</v>
      </c>
      <c r="B144" s="3" t="s">
        <v>41</v>
      </c>
      <c r="C144" s="3">
        <v>4</v>
      </c>
      <c r="D144" s="4" t="s">
        <v>14</v>
      </c>
      <c r="E144" s="11" t="s">
        <v>24</v>
      </c>
      <c r="F144" s="11" t="s">
        <v>28</v>
      </c>
      <c r="G144" s="11" t="s">
        <v>49</v>
      </c>
      <c r="H144" s="11" t="s">
        <v>50</v>
      </c>
      <c r="I144" s="5" t="str">
        <f t="shared" si="8"/>
        <v>Ličko, Stanček</v>
      </c>
      <c r="J144" s="6" t="str">
        <f t="shared" si="9"/>
        <v>Beňo, Polák</v>
      </c>
      <c r="K144" s="7">
        <f t="shared" si="10"/>
        <v>0</v>
      </c>
      <c r="L144" s="7">
        <f t="shared" si="11"/>
        <v>1</v>
      </c>
      <c r="M144" s="3" t="s">
        <v>9</v>
      </c>
    </row>
    <row r="145" spans="1:13" x14ac:dyDescent="0.25">
      <c r="A145" s="3">
        <v>2019</v>
      </c>
      <c r="B145" s="3" t="s">
        <v>41</v>
      </c>
      <c r="C145" s="3">
        <v>5</v>
      </c>
      <c r="D145" s="4" t="s">
        <v>40</v>
      </c>
      <c r="E145" s="11" t="s">
        <v>37</v>
      </c>
      <c r="F145" s="11" t="s">
        <v>36</v>
      </c>
      <c r="G145" s="11" t="s">
        <v>61</v>
      </c>
      <c r="H145" s="11" t="s">
        <v>22</v>
      </c>
      <c r="I145" s="5" t="str">
        <f t="shared" si="8"/>
        <v>Just, Kafka</v>
      </c>
      <c r="J145" s="6" t="str">
        <f t="shared" si="9"/>
        <v>Gotzl, Tarnóczy</v>
      </c>
      <c r="K145" s="7">
        <f t="shared" si="10"/>
        <v>0</v>
      </c>
      <c r="L145" s="7">
        <f t="shared" si="11"/>
        <v>1</v>
      </c>
      <c r="M145" s="3" t="s">
        <v>9</v>
      </c>
    </row>
    <row r="146" spans="1:13" x14ac:dyDescent="0.25">
      <c r="A146" s="3">
        <v>2019</v>
      </c>
      <c r="B146" s="3" t="s">
        <v>41</v>
      </c>
      <c r="C146" s="3">
        <v>6</v>
      </c>
      <c r="D146" s="4" t="s">
        <v>40</v>
      </c>
      <c r="E146" s="11" t="s">
        <v>73</v>
      </c>
      <c r="F146" s="11" t="s">
        <v>76</v>
      </c>
      <c r="G146" s="11" t="s">
        <v>75</v>
      </c>
      <c r="H146" s="11" t="s">
        <v>59</v>
      </c>
      <c r="I146" s="5" t="str">
        <f t="shared" si="8"/>
        <v>Krajčík, Šindelár</v>
      </c>
      <c r="J146" s="6" t="str">
        <f t="shared" si="9"/>
        <v>Achimský, Pecha</v>
      </c>
      <c r="K146" s="7">
        <f t="shared" si="10"/>
        <v>0</v>
      </c>
      <c r="L146" s="7">
        <f t="shared" si="11"/>
        <v>1</v>
      </c>
      <c r="M146" s="3" t="s">
        <v>9</v>
      </c>
    </row>
    <row r="147" spans="1:13" x14ac:dyDescent="0.25">
      <c r="A147" s="3">
        <v>2019</v>
      </c>
      <c r="B147" s="3" t="s">
        <v>41</v>
      </c>
      <c r="C147" s="3">
        <v>7</v>
      </c>
      <c r="D147" s="4" t="s">
        <v>40</v>
      </c>
      <c r="E147" s="11" t="s">
        <v>53</v>
      </c>
      <c r="F147" s="11" t="s">
        <v>63</v>
      </c>
      <c r="G147" s="11" t="s">
        <v>50</v>
      </c>
      <c r="H147" s="11" t="s">
        <v>26</v>
      </c>
      <c r="I147" s="5" t="str">
        <f t="shared" si="8"/>
        <v>Machcinik, Torma</v>
      </c>
      <c r="J147" s="6" t="str">
        <f t="shared" si="9"/>
        <v>Polák, Sill</v>
      </c>
      <c r="K147" s="7">
        <f t="shared" si="10"/>
        <v>1</v>
      </c>
      <c r="L147" s="7">
        <f t="shared" si="11"/>
        <v>0</v>
      </c>
      <c r="M147" s="3" t="s">
        <v>8</v>
      </c>
    </row>
    <row r="148" spans="1:13" x14ac:dyDescent="0.25">
      <c r="A148" s="3">
        <v>2019</v>
      </c>
      <c r="B148" s="3" t="s">
        <v>41</v>
      </c>
      <c r="C148" s="3">
        <v>8</v>
      </c>
      <c r="D148" s="4" t="s">
        <v>40</v>
      </c>
      <c r="E148" s="11" t="s">
        <v>19</v>
      </c>
      <c r="F148" s="11" t="s">
        <v>25</v>
      </c>
      <c r="G148" s="11" t="s">
        <v>46</v>
      </c>
      <c r="H148" s="11" t="s">
        <v>72</v>
      </c>
      <c r="I148" s="5" t="str">
        <f t="shared" si="8"/>
        <v>Segéň, Schin</v>
      </c>
      <c r="J148" s="6" t="str">
        <f t="shared" si="9"/>
        <v>Bielik, Kokoš</v>
      </c>
      <c r="K148" s="7">
        <f t="shared" si="10"/>
        <v>1</v>
      </c>
      <c r="L148" s="7">
        <f t="shared" si="11"/>
        <v>0</v>
      </c>
      <c r="M148" s="3" t="s">
        <v>8</v>
      </c>
    </row>
    <row r="149" spans="1:13" x14ac:dyDescent="0.25">
      <c r="A149" s="3">
        <v>2019</v>
      </c>
      <c r="B149" s="3" t="s">
        <v>48</v>
      </c>
      <c r="C149" s="3">
        <v>1</v>
      </c>
      <c r="D149" s="4" t="s">
        <v>42</v>
      </c>
      <c r="E149" s="11" t="s">
        <v>74</v>
      </c>
      <c r="F149" s="11"/>
      <c r="G149" s="11" t="s">
        <v>26</v>
      </c>
      <c r="H149" s="11"/>
      <c r="I149" s="5" t="str">
        <f t="shared" si="8"/>
        <v>Benčík</v>
      </c>
      <c r="J149" s="6" t="str">
        <f t="shared" si="9"/>
        <v>Sill</v>
      </c>
      <c r="K149" s="7">
        <f t="shared" si="10"/>
        <v>0</v>
      </c>
      <c r="L149" s="7">
        <f t="shared" si="11"/>
        <v>1</v>
      </c>
      <c r="M149" s="3" t="s">
        <v>9</v>
      </c>
    </row>
    <row r="150" spans="1:13" x14ac:dyDescent="0.25">
      <c r="A150" s="3">
        <v>2019</v>
      </c>
      <c r="B150" s="3" t="s">
        <v>48</v>
      </c>
      <c r="C150" s="3">
        <v>2</v>
      </c>
      <c r="D150" s="4" t="s">
        <v>42</v>
      </c>
      <c r="E150" s="11" t="s">
        <v>36</v>
      </c>
      <c r="F150" s="11"/>
      <c r="G150" s="11" t="s">
        <v>49</v>
      </c>
      <c r="H150" s="11"/>
      <c r="I150" s="5" t="str">
        <f t="shared" si="8"/>
        <v>Kafka</v>
      </c>
      <c r="J150" s="6" t="str">
        <f t="shared" si="9"/>
        <v>Beňo</v>
      </c>
      <c r="K150" s="7">
        <f t="shared" si="10"/>
        <v>0</v>
      </c>
      <c r="L150" s="7">
        <f t="shared" si="11"/>
        <v>1</v>
      </c>
      <c r="M150" s="3" t="s">
        <v>9</v>
      </c>
    </row>
    <row r="151" spans="1:13" x14ac:dyDescent="0.25">
      <c r="A151" s="3">
        <v>2019</v>
      </c>
      <c r="B151" s="3" t="s">
        <v>48</v>
      </c>
      <c r="C151" s="3">
        <v>3</v>
      </c>
      <c r="D151" s="4" t="s">
        <v>42</v>
      </c>
      <c r="E151" s="11" t="s">
        <v>73</v>
      </c>
      <c r="F151" s="11"/>
      <c r="G151" s="11" t="s">
        <v>50</v>
      </c>
      <c r="H151" s="11"/>
      <c r="I151" s="5" t="str">
        <f t="shared" si="8"/>
        <v>Krajčík</v>
      </c>
      <c r="J151" s="6" t="str">
        <f t="shared" si="9"/>
        <v>Polák</v>
      </c>
      <c r="K151" s="7">
        <f t="shared" si="10"/>
        <v>1</v>
      </c>
      <c r="L151" s="7">
        <f t="shared" si="11"/>
        <v>0</v>
      </c>
      <c r="M151" s="3" t="s">
        <v>8</v>
      </c>
    </row>
    <row r="152" spans="1:13" x14ac:dyDescent="0.25">
      <c r="A152" s="3">
        <v>2019</v>
      </c>
      <c r="B152" s="3" t="s">
        <v>48</v>
      </c>
      <c r="C152" s="3">
        <v>4</v>
      </c>
      <c r="D152" s="4" t="s">
        <v>42</v>
      </c>
      <c r="E152" s="11" t="s">
        <v>19</v>
      </c>
      <c r="F152" s="11"/>
      <c r="G152" s="11" t="s">
        <v>59</v>
      </c>
      <c r="H152" s="11"/>
      <c r="I152" s="5" t="str">
        <f t="shared" si="8"/>
        <v>Segéň</v>
      </c>
      <c r="J152" s="6" t="str">
        <f t="shared" si="9"/>
        <v>Pecha</v>
      </c>
      <c r="K152" s="7">
        <f t="shared" si="10"/>
        <v>1</v>
      </c>
      <c r="L152" s="7">
        <f t="shared" si="11"/>
        <v>0</v>
      </c>
      <c r="M152" s="3" t="s">
        <v>8</v>
      </c>
    </row>
    <row r="153" spans="1:13" x14ac:dyDescent="0.25">
      <c r="A153" s="3">
        <v>2019</v>
      </c>
      <c r="B153" s="3" t="s">
        <v>48</v>
      </c>
      <c r="C153" s="3">
        <v>5</v>
      </c>
      <c r="D153" s="4" t="s">
        <v>42</v>
      </c>
      <c r="E153" s="11" t="s">
        <v>53</v>
      </c>
      <c r="F153" s="11"/>
      <c r="G153" s="11" t="s">
        <v>17</v>
      </c>
      <c r="H153" s="11"/>
      <c r="I153" s="5" t="str">
        <f t="shared" si="8"/>
        <v>Machcinik</v>
      </c>
      <c r="J153" s="6" t="str">
        <f t="shared" si="9"/>
        <v>Baláž</v>
      </c>
      <c r="K153" s="7">
        <f t="shared" si="10"/>
        <v>1</v>
      </c>
      <c r="L153" s="7">
        <f t="shared" si="11"/>
        <v>0</v>
      </c>
      <c r="M153" s="3" t="s">
        <v>8</v>
      </c>
    </row>
    <row r="154" spans="1:13" x14ac:dyDescent="0.25">
      <c r="A154" s="3">
        <v>2019</v>
      </c>
      <c r="B154" s="3" t="s">
        <v>48</v>
      </c>
      <c r="C154" s="3">
        <v>6</v>
      </c>
      <c r="D154" s="4" t="s">
        <v>42</v>
      </c>
      <c r="E154" s="11" t="s">
        <v>28</v>
      </c>
      <c r="F154" s="11"/>
      <c r="G154" s="11" t="s">
        <v>38</v>
      </c>
      <c r="H154" s="11"/>
      <c r="I154" s="5" t="str">
        <f t="shared" si="8"/>
        <v>Stanček</v>
      </c>
      <c r="J154" s="6" t="str">
        <f t="shared" si="9"/>
        <v>Segéň</v>
      </c>
      <c r="K154" s="7">
        <f t="shared" si="10"/>
        <v>1</v>
      </c>
      <c r="L154" s="7">
        <f t="shared" si="11"/>
        <v>0</v>
      </c>
      <c r="M154" s="3" t="s">
        <v>8</v>
      </c>
    </row>
    <row r="155" spans="1:13" x14ac:dyDescent="0.25">
      <c r="A155" s="3">
        <v>2019</v>
      </c>
      <c r="B155" s="3" t="s">
        <v>48</v>
      </c>
      <c r="C155" s="3">
        <v>7</v>
      </c>
      <c r="D155" s="4" t="s">
        <v>42</v>
      </c>
      <c r="E155" s="11" t="s">
        <v>25</v>
      </c>
      <c r="F155" s="11"/>
      <c r="G155" s="11" t="s">
        <v>27</v>
      </c>
      <c r="H155" s="11"/>
      <c r="I155" s="5" t="str">
        <f t="shared" si="8"/>
        <v>Schin</v>
      </c>
      <c r="J155" s="6" t="str">
        <f t="shared" si="9"/>
        <v>Ryba</v>
      </c>
      <c r="K155" s="7">
        <f t="shared" si="10"/>
        <v>1</v>
      </c>
      <c r="L155" s="7">
        <f t="shared" si="11"/>
        <v>0</v>
      </c>
      <c r="M155" s="3" t="s">
        <v>8</v>
      </c>
    </row>
    <row r="156" spans="1:13" x14ac:dyDescent="0.25">
      <c r="A156" s="3">
        <v>2019</v>
      </c>
      <c r="B156" s="3" t="s">
        <v>48</v>
      </c>
      <c r="C156" s="3">
        <v>8</v>
      </c>
      <c r="D156" s="4" t="s">
        <v>42</v>
      </c>
      <c r="E156" s="11" t="s">
        <v>24</v>
      </c>
      <c r="F156" s="11"/>
      <c r="G156" s="11" t="s">
        <v>46</v>
      </c>
      <c r="H156" s="11"/>
      <c r="I156" s="5" t="str">
        <f t="shared" si="8"/>
        <v>Ličko</v>
      </c>
      <c r="J156" s="6" t="str">
        <f t="shared" si="9"/>
        <v>Bielik</v>
      </c>
      <c r="K156" s="7">
        <f t="shared" si="10"/>
        <v>0</v>
      </c>
      <c r="L156" s="7">
        <f t="shared" si="11"/>
        <v>1</v>
      </c>
      <c r="M156" s="3" t="s">
        <v>9</v>
      </c>
    </row>
    <row r="157" spans="1:13" x14ac:dyDescent="0.25">
      <c r="A157" s="3">
        <v>2019</v>
      </c>
      <c r="B157" s="3" t="s">
        <v>48</v>
      </c>
      <c r="C157" s="3">
        <v>9</v>
      </c>
      <c r="D157" s="4" t="s">
        <v>42</v>
      </c>
      <c r="E157" s="11" t="s">
        <v>63</v>
      </c>
      <c r="F157" s="11"/>
      <c r="G157" s="11" t="s">
        <v>75</v>
      </c>
      <c r="H157" s="11"/>
      <c r="I157" s="5" t="str">
        <f t="shared" si="8"/>
        <v>Torma</v>
      </c>
      <c r="J157" s="6" t="str">
        <f t="shared" si="9"/>
        <v>Achimský</v>
      </c>
      <c r="K157" s="7">
        <f t="shared" si="10"/>
        <v>0</v>
      </c>
      <c r="L157" s="7">
        <f t="shared" si="11"/>
        <v>1</v>
      </c>
      <c r="M157" s="3" t="s">
        <v>9</v>
      </c>
    </row>
    <row r="158" spans="1:13" x14ac:dyDescent="0.25">
      <c r="A158" s="3">
        <v>2019</v>
      </c>
      <c r="B158" s="3" t="s">
        <v>48</v>
      </c>
      <c r="C158" s="3">
        <v>10</v>
      </c>
      <c r="D158" s="4" t="s">
        <v>42</v>
      </c>
      <c r="E158" s="11" t="s">
        <v>69</v>
      </c>
      <c r="F158" s="11"/>
      <c r="G158" s="11" t="s">
        <v>72</v>
      </c>
      <c r="H158" s="11"/>
      <c r="I158" s="5" t="str">
        <f t="shared" si="8"/>
        <v>Šedivý</v>
      </c>
      <c r="J158" s="6" t="str">
        <f t="shared" si="9"/>
        <v>Kokoš</v>
      </c>
      <c r="K158" s="7">
        <f t="shared" si="10"/>
        <v>1</v>
      </c>
      <c r="L158" s="7">
        <f t="shared" si="11"/>
        <v>0</v>
      </c>
      <c r="M158" s="3" t="s">
        <v>8</v>
      </c>
    </row>
    <row r="159" spans="1:13" x14ac:dyDescent="0.25">
      <c r="A159" s="3">
        <v>2019</v>
      </c>
      <c r="B159" s="3" t="s">
        <v>48</v>
      </c>
      <c r="C159" s="3">
        <v>11</v>
      </c>
      <c r="D159" s="4" t="s">
        <v>42</v>
      </c>
      <c r="E159" s="11" t="s">
        <v>76</v>
      </c>
      <c r="F159" s="11"/>
      <c r="G159" s="11" t="s">
        <v>22</v>
      </c>
      <c r="H159" s="11"/>
      <c r="I159" s="5" t="str">
        <f t="shared" si="8"/>
        <v>Šindelár</v>
      </c>
      <c r="J159" s="6" t="str">
        <f t="shared" si="9"/>
        <v>Tarnóczy</v>
      </c>
      <c r="K159" s="7">
        <f t="shared" si="10"/>
        <v>0</v>
      </c>
      <c r="L159" s="7">
        <f t="shared" si="11"/>
        <v>1</v>
      </c>
      <c r="M159" s="3" t="s">
        <v>9</v>
      </c>
    </row>
    <row r="160" spans="1:13" x14ac:dyDescent="0.25">
      <c r="A160" s="3">
        <v>2019</v>
      </c>
      <c r="B160" s="3" t="s">
        <v>48</v>
      </c>
      <c r="C160" s="3">
        <v>12</v>
      </c>
      <c r="D160" s="4" t="s">
        <v>42</v>
      </c>
      <c r="E160" s="11" t="s">
        <v>37</v>
      </c>
      <c r="F160" s="11"/>
      <c r="G160" s="11" t="s">
        <v>61</v>
      </c>
      <c r="H160" s="11"/>
      <c r="I160" s="5" t="str">
        <f t="shared" si="8"/>
        <v>Just</v>
      </c>
      <c r="J160" s="6" t="str">
        <f t="shared" si="9"/>
        <v>Gotzl</v>
      </c>
      <c r="K160" s="7">
        <f t="shared" si="10"/>
        <v>1</v>
      </c>
      <c r="L160" s="7">
        <f t="shared" si="11"/>
        <v>0</v>
      </c>
      <c r="M160" s="3" t="s">
        <v>8</v>
      </c>
    </row>
    <row r="161" spans="1:13" x14ac:dyDescent="0.25">
      <c r="A161" s="3">
        <v>2020</v>
      </c>
      <c r="B161" s="3" t="s">
        <v>13</v>
      </c>
      <c r="C161" s="3">
        <v>1</v>
      </c>
      <c r="D161" s="4" t="s">
        <v>14</v>
      </c>
      <c r="E161" s="11" t="s">
        <v>77</v>
      </c>
      <c r="F161" s="11" t="s">
        <v>19</v>
      </c>
      <c r="G161" s="11" t="s">
        <v>46</v>
      </c>
      <c r="H161" s="11" t="s">
        <v>27</v>
      </c>
      <c r="I161" s="5" t="str">
        <f t="shared" si="8"/>
        <v>Holčík, Segéň</v>
      </c>
      <c r="J161" s="6" t="str">
        <f t="shared" si="9"/>
        <v>Bielik, Ryba</v>
      </c>
      <c r="K161" s="7">
        <f t="shared" si="10"/>
        <v>1</v>
      </c>
      <c r="L161" s="7">
        <f t="shared" si="11"/>
        <v>0</v>
      </c>
      <c r="M161" s="3" t="s">
        <v>8</v>
      </c>
    </row>
    <row r="162" spans="1:13" x14ac:dyDescent="0.25">
      <c r="A162" s="3">
        <v>2020</v>
      </c>
      <c r="B162" s="3" t="s">
        <v>13</v>
      </c>
      <c r="C162" s="3">
        <v>2</v>
      </c>
      <c r="D162" s="4" t="s">
        <v>14</v>
      </c>
      <c r="E162" s="11" t="s">
        <v>78</v>
      </c>
      <c r="F162" s="11" t="s">
        <v>25</v>
      </c>
      <c r="G162" s="11" t="s">
        <v>49</v>
      </c>
      <c r="H162" s="11" t="s">
        <v>50</v>
      </c>
      <c r="I162" s="5" t="str">
        <f t="shared" si="8"/>
        <v>Potocký, Schin</v>
      </c>
      <c r="J162" s="6" t="str">
        <f t="shared" si="9"/>
        <v>Beňo, Polák</v>
      </c>
      <c r="K162" s="7">
        <f t="shared" si="10"/>
        <v>0</v>
      </c>
      <c r="L162" s="7">
        <f t="shared" si="11"/>
        <v>1</v>
      </c>
      <c r="M162" s="3" t="s">
        <v>9</v>
      </c>
    </row>
    <row r="163" spans="1:13" x14ac:dyDescent="0.25">
      <c r="A163" s="3">
        <v>2020</v>
      </c>
      <c r="B163" s="3" t="s">
        <v>13</v>
      </c>
      <c r="C163" s="3">
        <v>3</v>
      </c>
      <c r="D163" s="4" t="s">
        <v>14</v>
      </c>
      <c r="E163" s="11" t="s">
        <v>73</v>
      </c>
      <c r="F163" s="11" t="s">
        <v>28</v>
      </c>
      <c r="G163" s="11" t="s">
        <v>75</v>
      </c>
      <c r="H163" s="11" t="s">
        <v>17</v>
      </c>
      <c r="I163" s="5" t="str">
        <f t="shared" si="8"/>
        <v>Krajčík, Stanček</v>
      </c>
      <c r="J163" s="6" t="str">
        <f t="shared" si="9"/>
        <v>Achimský, Baláž</v>
      </c>
      <c r="K163" s="7">
        <f t="shared" si="10"/>
        <v>0</v>
      </c>
      <c r="L163" s="7">
        <f t="shared" si="11"/>
        <v>1</v>
      </c>
      <c r="M163" s="3" t="s">
        <v>9</v>
      </c>
    </row>
    <row r="164" spans="1:13" x14ac:dyDescent="0.25">
      <c r="A164" s="3">
        <v>2020</v>
      </c>
      <c r="B164" s="3" t="s">
        <v>13</v>
      </c>
      <c r="C164" s="3">
        <v>4</v>
      </c>
      <c r="D164" s="4" t="s">
        <v>14</v>
      </c>
      <c r="E164" s="11" t="s">
        <v>53</v>
      </c>
      <c r="F164" s="11" t="s">
        <v>69</v>
      </c>
      <c r="G164" s="11" t="s">
        <v>80</v>
      </c>
      <c r="H164" s="11" t="s">
        <v>79</v>
      </c>
      <c r="I164" s="5" t="str">
        <f t="shared" si="8"/>
        <v>Machcinik, Šedivý</v>
      </c>
      <c r="J164" s="6" t="str">
        <f t="shared" si="9"/>
        <v>Galbavý, Matlák</v>
      </c>
      <c r="K164" s="7">
        <f t="shared" si="10"/>
        <v>1</v>
      </c>
      <c r="L164" s="7">
        <f t="shared" si="11"/>
        <v>0</v>
      </c>
      <c r="M164" s="3" t="s">
        <v>8</v>
      </c>
    </row>
    <row r="165" spans="1:13" x14ac:dyDescent="0.25">
      <c r="A165" s="3">
        <v>2020</v>
      </c>
      <c r="B165" s="3" t="s">
        <v>13</v>
      </c>
      <c r="C165" s="3">
        <v>5</v>
      </c>
      <c r="D165" s="4" t="s">
        <v>40</v>
      </c>
      <c r="E165" s="11" t="s">
        <v>37</v>
      </c>
      <c r="F165" s="11" t="s">
        <v>73</v>
      </c>
      <c r="G165" s="11" t="s">
        <v>59</v>
      </c>
      <c r="H165" s="11" t="s">
        <v>22</v>
      </c>
      <c r="I165" s="5" t="str">
        <f t="shared" si="8"/>
        <v>Just, Krajčík</v>
      </c>
      <c r="J165" s="6" t="str">
        <f t="shared" si="9"/>
        <v>Pecha, Tarnóczy</v>
      </c>
      <c r="K165" s="7">
        <f t="shared" si="10"/>
        <v>0</v>
      </c>
      <c r="L165" s="7">
        <f t="shared" si="11"/>
        <v>1</v>
      </c>
      <c r="M165" s="3" t="s">
        <v>9</v>
      </c>
    </row>
    <row r="166" spans="1:13" x14ac:dyDescent="0.25">
      <c r="A166" s="3">
        <v>2020</v>
      </c>
      <c r="B166" s="3" t="s">
        <v>13</v>
      </c>
      <c r="C166" s="3">
        <v>6</v>
      </c>
      <c r="D166" s="4" t="s">
        <v>40</v>
      </c>
      <c r="E166" s="11" t="s">
        <v>28</v>
      </c>
      <c r="F166" s="11" t="s">
        <v>63</v>
      </c>
      <c r="G166" s="11" t="s">
        <v>46</v>
      </c>
      <c r="H166" s="11" t="s">
        <v>26</v>
      </c>
      <c r="I166" s="5" t="str">
        <f t="shared" si="8"/>
        <v>Stanček, Torma</v>
      </c>
      <c r="J166" s="6" t="str">
        <f t="shared" si="9"/>
        <v>Bielik, Sill</v>
      </c>
      <c r="K166" s="7">
        <f t="shared" si="10"/>
        <v>0</v>
      </c>
      <c r="L166" s="7">
        <f t="shared" si="11"/>
        <v>1</v>
      </c>
      <c r="M166" s="3" t="s">
        <v>9</v>
      </c>
    </row>
    <row r="167" spans="1:13" x14ac:dyDescent="0.25">
      <c r="A167" s="3">
        <v>2020</v>
      </c>
      <c r="B167" s="3" t="s">
        <v>13</v>
      </c>
      <c r="C167" s="3">
        <v>7</v>
      </c>
      <c r="D167" s="4" t="s">
        <v>40</v>
      </c>
      <c r="E167" s="11" t="s">
        <v>74</v>
      </c>
      <c r="F167" s="11" t="s">
        <v>77</v>
      </c>
      <c r="G167" s="11" t="s">
        <v>75</v>
      </c>
      <c r="H167" s="11" t="s">
        <v>80</v>
      </c>
      <c r="I167" s="5" t="str">
        <f t="shared" si="8"/>
        <v>Benčík, Holčík</v>
      </c>
      <c r="J167" s="6" t="str">
        <f t="shared" si="9"/>
        <v>Achimský, Galbavý</v>
      </c>
      <c r="K167" s="7">
        <f t="shared" si="10"/>
        <v>1</v>
      </c>
      <c r="L167" s="7">
        <f t="shared" si="11"/>
        <v>0</v>
      </c>
      <c r="M167" s="3" t="s">
        <v>8</v>
      </c>
    </row>
    <row r="168" spans="1:13" x14ac:dyDescent="0.25">
      <c r="A168" s="3">
        <v>2020</v>
      </c>
      <c r="B168" s="3" t="s">
        <v>13</v>
      </c>
      <c r="C168" s="3">
        <v>8</v>
      </c>
      <c r="D168" s="4" t="s">
        <v>40</v>
      </c>
      <c r="E168" s="11" t="s">
        <v>24</v>
      </c>
      <c r="F168" s="11" t="s">
        <v>25</v>
      </c>
      <c r="G168" s="11" t="s">
        <v>79</v>
      </c>
      <c r="H168" s="11" t="s">
        <v>38</v>
      </c>
      <c r="I168" s="5" t="str">
        <f t="shared" si="8"/>
        <v>Ličko, Schin</v>
      </c>
      <c r="J168" s="6" t="str">
        <f t="shared" si="9"/>
        <v>Matlák, Segéň</v>
      </c>
      <c r="K168" s="7">
        <f t="shared" si="10"/>
        <v>0</v>
      </c>
      <c r="L168" s="7">
        <f t="shared" si="11"/>
        <v>1</v>
      </c>
      <c r="M168" s="3" t="s">
        <v>9</v>
      </c>
    </row>
    <row r="169" spans="1:13" x14ac:dyDescent="0.25">
      <c r="A169" s="3">
        <v>2020</v>
      </c>
      <c r="B169" s="3" t="s">
        <v>41</v>
      </c>
      <c r="C169" s="3">
        <v>1</v>
      </c>
      <c r="D169" s="4" t="s">
        <v>14</v>
      </c>
      <c r="E169" s="11" t="s">
        <v>53</v>
      </c>
      <c r="F169" s="11" t="s">
        <v>69</v>
      </c>
      <c r="G169" s="11" t="s">
        <v>75</v>
      </c>
      <c r="H169" s="11" t="s">
        <v>17</v>
      </c>
      <c r="I169" s="5" t="str">
        <f t="shared" si="8"/>
        <v>Machcinik, Šedivý</v>
      </c>
      <c r="J169" s="6" t="str">
        <f t="shared" si="9"/>
        <v>Achimský, Baláž</v>
      </c>
      <c r="K169" s="7">
        <f t="shared" si="10"/>
        <v>0</v>
      </c>
      <c r="L169" s="7">
        <f t="shared" si="11"/>
        <v>1</v>
      </c>
      <c r="M169" s="3" t="s">
        <v>9</v>
      </c>
    </row>
    <row r="170" spans="1:13" x14ac:dyDescent="0.25">
      <c r="A170" s="3">
        <v>2020</v>
      </c>
      <c r="B170" s="3" t="s">
        <v>41</v>
      </c>
      <c r="C170" s="3">
        <v>2</v>
      </c>
      <c r="D170" s="4" t="s">
        <v>14</v>
      </c>
      <c r="E170" s="11" t="s">
        <v>77</v>
      </c>
      <c r="F170" s="11" t="s">
        <v>19</v>
      </c>
      <c r="G170" s="11" t="s">
        <v>79</v>
      </c>
      <c r="H170" s="11" t="s">
        <v>26</v>
      </c>
      <c r="I170" s="5" t="str">
        <f t="shared" si="8"/>
        <v>Holčík, Segéň</v>
      </c>
      <c r="J170" s="6" t="str">
        <f t="shared" si="9"/>
        <v>Matlák, Sill</v>
      </c>
      <c r="K170" s="7">
        <f t="shared" si="10"/>
        <v>0.5</v>
      </c>
      <c r="L170" s="7">
        <f t="shared" si="11"/>
        <v>0.5</v>
      </c>
      <c r="M170" s="3" t="s">
        <v>23</v>
      </c>
    </row>
    <row r="171" spans="1:13" x14ac:dyDescent="0.25">
      <c r="A171" s="3">
        <v>2020</v>
      </c>
      <c r="B171" s="3" t="s">
        <v>41</v>
      </c>
      <c r="C171" s="3">
        <v>3</v>
      </c>
      <c r="D171" s="4" t="s">
        <v>14</v>
      </c>
      <c r="E171" s="11" t="s">
        <v>73</v>
      </c>
      <c r="F171" s="11" t="s">
        <v>78</v>
      </c>
      <c r="G171" s="11" t="s">
        <v>49</v>
      </c>
      <c r="H171" s="11" t="s">
        <v>50</v>
      </c>
      <c r="I171" s="5" t="str">
        <f t="shared" si="8"/>
        <v>Krajčík, Potocký</v>
      </c>
      <c r="J171" s="6" t="str">
        <f t="shared" si="9"/>
        <v>Beňo, Polák</v>
      </c>
      <c r="K171" s="7">
        <f t="shared" si="10"/>
        <v>0</v>
      </c>
      <c r="L171" s="7">
        <f t="shared" si="11"/>
        <v>1</v>
      </c>
      <c r="M171" s="3" t="s">
        <v>9</v>
      </c>
    </row>
    <row r="172" spans="1:13" x14ac:dyDescent="0.25">
      <c r="A172" s="3">
        <v>2020</v>
      </c>
      <c r="B172" s="3" t="s">
        <v>41</v>
      </c>
      <c r="C172" s="3">
        <v>4</v>
      </c>
      <c r="D172" s="4" t="s">
        <v>14</v>
      </c>
      <c r="E172" s="11" t="s">
        <v>74</v>
      </c>
      <c r="F172" s="11" t="s">
        <v>25</v>
      </c>
      <c r="G172" s="11" t="s">
        <v>46</v>
      </c>
      <c r="H172" s="11" t="s">
        <v>38</v>
      </c>
      <c r="I172" s="5" t="str">
        <f t="shared" si="8"/>
        <v>Benčík, Schin</v>
      </c>
      <c r="J172" s="6" t="str">
        <f t="shared" si="9"/>
        <v>Bielik, Segéň</v>
      </c>
      <c r="K172" s="7">
        <f t="shared" si="10"/>
        <v>0</v>
      </c>
      <c r="L172" s="7">
        <f t="shared" si="11"/>
        <v>1</v>
      </c>
      <c r="M172" s="3" t="s">
        <v>9</v>
      </c>
    </row>
    <row r="173" spans="1:13" x14ac:dyDescent="0.25">
      <c r="A173" s="3">
        <v>2020</v>
      </c>
      <c r="B173" s="3" t="s">
        <v>41</v>
      </c>
      <c r="C173" s="3">
        <v>5</v>
      </c>
      <c r="D173" s="4" t="s">
        <v>40</v>
      </c>
      <c r="E173" s="11" t="s">
        <v>73</v>
      </c>
      <c r="F173" s="11" t="s">
        <v>53</v>
      </c>
      <c r="G173" s="11" t="s">
        <v>59</v>
      </c>
      <c r="H173" s="11" t="s">
        <v>22</v>
      </c>
      <c r="I173" s="5" t="str">
        <f t="shared" si="8"/>
        <v>Krajčík, Machcinik</v>
      </c>
      <c r="J173" s="6" t="str">
        <f t="shared" si="9"/>
        <v>Pecha, Tarnóczy</v>
      </c>
      <c r="K173" s="7">
        <f t="shared" si="10"/>
        <v>1</v>
      </c>
      <c r="L173" s="7">
        <f t="shared" si="11"/>
        <v>0</v>
      </c>
      <c r="M173" s="3" t="s">
        <v>8</v>
      </c>
    </row>
    <row r="174" spans="1:13" x14ac:dyDescent="0.25">
      <c r="A174" s="3">
        <v>2020</v>
      </c>
      <c r="B174" s="3" t="s">
        <v>41</v>
      </c>
      <c r="C174" s="3">
        <v>6</v>
      </c>
      <c r="D174" s="4" t="s">
        <v>40</v>
      </c>
      <c r="E174" s="11" t="s">
        <v>37</v>
      </c>
      <c r="F174" s="11" t="s">
        <v>24</v>
      </c>
      <c r="G174" s="11" t="s">
        <v>49</v>
      </c>
      <c r="H174" s="11" t="s">
        <v>27</v>
      </c>
      <c r="I174" s="5" t="str">
        <f t="shared" si="8"/>
        <v>Just, Ličko</v>
      </c>
      <c r="J174" s="6" t="str">
        <f t="shared" si="9"/>
        <v>Beňo, Ryba</v>
      </c>
      <c r="K174" s="7">
        <f t="shared" si="10"/>
        <v>0</v>
      </c>
      <c r="L174" s="7">
        <f t="shared" si="11"/>
        <v>1</v>
      </c>
      <c r="M174" s="3" t="s">
        <v>9</v>
      </c>
    </row>
    <row r="175" spans="1:13" x14ac:dyDescent="0.25">
      <c r="A175" s="3">
        <v>2020</v>
      </c>
      <c r="B175" s="3" t="s">
        <v>41</v>
      </c>
      <c r="C175" s="3">
        <v>7</v>
      </c>
      <c r="D175" s="4" t="s">
        <v>40</v>
      </c>
      <c r="E175" s="11" t="s">
        <v>19</v>
      </c>
      <c r="F175" s="11" t="s">
        <v>63</v>
      </c>
      <c r="G175" s="11" t="s">
        <v>80</v>
      </c>
      <c r="H175" s="11" t="s">
        <v>26</v>
      </c>
      <c r="I175" s="5" t="str">
        <f t="shared" si="8"/>
        <v>Segéň, Torma</v>
      </c>
      <c r="J175" s="6" t="str">
        <f t="shared" si="9"/>
        <v>Galbavý, Sill</v>
      </c>
      <c r="K175" s="7">
        <f t="shared" si="10"/>
        <v>0.5</v>
      </c>
      <c r="L175" s="7">
        <f t="shared" si="11"/>
        <v>0.5</v>
      </c>
      <c r="M175" s="3" t="s">
        <v>23</v>
      </c>
    </row>
    <row r="176" spans="1:13" x14ac:dyDescent="0.25">
      <c r="A176" s="3">
        <v>2020</v>
      </c>
      <c r="B176" s="3" t="s">
        <v>41</v>
      </c>
      <c r="C176" s="3">
        <v>8</v>
      </c>
      <c r="D176" s="4" t="s">
        <v>40</v>
      </c>
      <c r="E176" s="11" t="s">
        <v>74</v>
      </c>
      <c r="F176" s="11" t="s">
        <v>28</v>
      </c>
      <c r="G176" s="11" t="s">
        <v>50</v>
      </c>
      <c r="H176" s="11" t="s">
        <v>38</v>
      </c>
      <c r="I176" s="5" t="str">
        <f t="shared" si="8"/>
        <v>Benčík, Stanček</v>
      </c>
      <c r="J176" s="6" t="str">
        <f t="shared" si="9"/>
        <v>Polák, Segéň</v>
      </c>
      <c r="K176" s="7">
        <f t="shared" si="10"/>
        <v>0</v>
      </c>
      <c r="L176" s="7">
        <f t="shared" si="11"/>
        <v>1</v>
      </c>
      <c r="M176" s="3" t="s">
        <v>9</v>
      </c>
    </row>
    <row r="177" spans="1:13" x14ac:dyDescent="0.25">
      <c r="A177" s="3">
        <v>2020</v>
      </c>
      <c r="B177" s="3" t="s">
        <v>48</v>
      </c>
      <c r="C177" s="3">
        <v>1</v>
      </c>
      <c r="D177" s="4" t="s">
        <v>42</v>
      </c>
      <c r="E177" s="11" t="s">
        <v>63</v>
      </c>
      <c r="F177" s="11"/>
      <c r="G177" s="11" t="s">
        <v>49</v>
      </c>
      <c r="H177" s="11"/>
      <c r="I177" s="5" t="str">
        <f t="shared" si="8"/>
        <v>Torma</v>
      </c>
      <c r="J177" s="6" t="str">
        <f t="shared" si="9"/>
        <v>Beňo</v>
      </c>
      <c r="K177" s="7">
        <f t="shared" si="10"/>
        <v>0</v>
      </c>
      <c r="L177" s="7">
        <f t="shared" si="11"/>
        <v>1</v>
      </c>
      <c r="M177" s="3" t="s">
        <v>9</v>
      </c>
    </row>
    <row r="178" spans="1:13" x14ac:dyDescent="0.25">
      <c r="A178" s="3">
        <v>2020</v>
      </c>
      <c r="B178" s="3" t="s">
        <v>48</v>
      </c>
      <c r="C178" s="3">
        <v>2</v>
      </c>
      <c r="D178" s="4" t="s">
        <v>42</v>
      </c>
      <c r="E178" s="11" t="s">
        <v>28</v>
      </c>
      <c r="F178" s="11"/>
      <c r="G178" s="11" t="s">
        <v>27</v>
      </c>
      <c r="H178" s="11"/>
      <c r="I178" s="5" t="str">
        <f t="shared" si="8"/>
        <v>Stanček</v>
      </c>
      <c r="J178" s="6" t="str">
        <f t="shared" si="9"/>
        <v>Ryba</v>
      </c>
      <c r="K178" s="7">
        <f t="shared" si="10"/>
        <v>0</v>
      </c>
      <c r="L178" s="7">
        <f t="shared" si="11"/>
        <v>1</v>
      </c>
      <c r="M178" s="3" t="s">
        <v>9</v>
      </c>
    </row>
    <row r="179" spans="1:13" x14ac:dyDescent="0.25">
      <c r="A179" s="3">
        <v>2020</v>
      </c>
      <c r="B179" s="3" t="s">
        <v>48</v>
      </c>
      <c r="C179" s="3">
        <v>3</v>
      </c>
      <c r="D179" s="4" t="s">
        <v>42</v>
      </c>
      <c r="E179" s="11" t="s">
        <v>74</v>
      </c>
      <c r="F179" s="11"/>
      <c r="G179" s="11" t="s">
        <v>50</v>
      </c>
      <c r="H179" s="11"/>
      <c r="I179" s="5" t="str">
        <f t="shared" si="8"/>
        <v>Benčík</v>
      </c>
      <c r="J179" s="6" t="str">
        <f t="shared" si="9"/>
        <v>Polák</v>
      </c>
      <c r="K179" s="7">
        <f t="shared" si="10"/>
        <v>0</v>
      </c>
      <c r="L179" s="7">
        <f t="shared" si="11"/>
        <v>1</v>
      </c>
      <c r="M179" s="3" t="s">
        <v>9</v>
      </c>
    </row>
    <row r="180" spans="1:13" x14ac:dyDescent="0.25">
      <c r="A180" s="3">
        <v>2020</v>
      </c>
      <c r="B180" s="3" t="s">
        <v>48</v>
      </c>
      <c r="C180" s="3">
        <v>4</v>
      </c>
      <c r="D180" s="4" t="s">
        <v>42</v>
      </c>
      <c r="E180" s="11" t="s">
        <v>77</v>
      </c>
      <c r="F180" s="11"/>
      <c r="G180" s="11" t="s">
        <v>26</v>
      </c>
      <c r="H180" s="11"/>
      <c r="I180" s="5" t="str">
        <f t="shared" si="8"/>
        <v>Holčík</v>
      </c>
      <c r="J180" s="6" t="str">
        <f t="shared" si="9"/>
        <v>Sill</v>
      </c>
      <c r="K180" s="7">
        <f t="shared" si="10"/>
        <v>1</v>
      </c>
      <c r="L180" s="7">
        <f t="shared" si="11"/>
        <v>0</v>
      </c>
      <c r="M180" s="3" t="s">
        <v>8</v>
      </c>
    </row>
    <row r="181" spans="1:13" x14ac:dyDescent="0.25">
      <c r="A181" s="3">
        <v>2020</v>
      </c>
      <c r="B181" s="3" t="s">
        <v>48</v>
      </c>
      <c r="C181" s="3">
        <v>5</v>
      </c>
      <c r="D181" s="4" t="s">
        <v>42</v>
      </c>
      <c r="E181" s="11" t="s">
        <v>25</v>
      </c>
      <c r="F181" s="11"/>
      <c r="G181" s="11" t="s">
        <v>75</v>
      </c>
      <c r="H181" s="11"/>
      <c r="I181" s="5" t="str">
        <f t="shared" si="8"/>
        <v>Schin</v>
      </c>
      <c r="J181" s="6" t="str">
        <f t="shared" si="9"/>
        <v>Achimský</v>
      </c>
      <c r="K181" s="7">
        <f t="shared" si="10"/>
        <v>1</v>
      </c>
      <c r="L181" s="7">
        <f t="shared" si="11"/>
        <v>0</v>
      </c>
      <c r="M181" s="3" t="s">
        <v>8</v>
      </c>
    </row>
    <row r="182" spans="1:13" x14ac:dyDescent="0.25">
      <c r="A182" s="3">
        <v>2020</v>
      </c>
      <c r="B182" s="3" t="s">
        <v>48</v>
      </c>
      <c r="C182" s="3">
        <v>6</v>
      </c>
      <c r="D182" s="4" t="s">
        <v>42</v>
      </c>
      <c r="E182" s="11" t="s">
        <v>73</v>
      </c>
      <c r="F182" s="11"/>
      <c r="G182" s="11" t="s">
        <v>17</v>
      </c>
      <c r="H182" s="11"/>
      <c r="I182" s="5" t="str">
        <f t="shared" si="8"/>
        <v>Krajčík</v>
      </c>
      <c r="J182" s="6" t="str">
        <f t="shared" si="9"/>
        <v>Baláž</v>
      </c>
      <c r="K182" s="7">
        <f t="shared" si="10"/>
        <v>1</v>
      </c>
      <c r="L182" s="7">
        <f t="shared" si="11"/>
        <v>0</v>
      </c>
      <c r="M182" s="3" t="s">
        <v>8</v>
      </c>
    </row>
    <row r="183" spans="1:13" x14ac:dyDescent="0.25">
      <c r="A183" s="3">
        <v>2020</v>
      </c>
      <c r="B183" s="3" t="s">
        <v>48</v>
      </c>
      <c r="C183" s="3">
        <v>7</v>
      </c>
      <c r="D183" s="4" t="s">
        <v>42</v>
      </c>
      <c r="E183" s="11" t="s">
        <v>78</v>
      </c>
      <c r="F183" s="11"/>
      <c r="G183" s="11" t="s">
        <v>59</v>
      </c>
      <c r="H183" s="11"/>
      <c r="I183" s="5" t="str">
        <f t="shared" si="8"/>
        <v>Potocký</v>
      </c>
      <c r="J183" s="6" t="str">
        <f t="shared" si="9"/>
        <v>Pecha</v>
      </c>
      <c r="K183" s="7">
        <f t="shared" si="10"/>
        <v>0</v>
      </c>
      <c r="L183" s="7">
        <f t="shared" si="11"/>
        <v>1</v>
      </c>
      <c r="M183" s="3" t="s">
        <v>9</v>
      </c>
    </row>
    <row r="184" spans="1:13" x14ac:dyDescent="0.25">
      <c r="A184" s="3">
        <v>2020</v>
      </c>
      <c r="B184" s="3" t="s">
        <v>48</v>
      </c>
      <c r="C184" s="3">
        <v>8</v>
      </c>
      <c r="D184" s="4" t="s">
        <v>42</v>
      </c>
      <c r="E184" s="11" t="s">
        <v>53</v>
      </c>
      <c r="F184" s="11"/>
      <c r="G184" s="11" t="s">
        <v>46</v>
      </c>
      <c r="H184" s="11"/>
      <c r="I184" s="5" t="str">
        <f t="shared" si="8"/>
        <v>Machcinik</v>
      </c>
      <c r="J184" s="6" t="str">
        <f t="shared" si="9"/>
        <v>Bielik</v>
      </c>
      <c r="K184" s="7">
        <f t="shared" si="10"/>
        <v>0</v>
      </c>
      <c r="L184" s="7">
        <f t="shared" si="11"/>
        <v>1</v>
      </c>
      <c r="M184" s="3" t="s">
        <v>9</v>
      </c>
    </row>
    <row r="185" spans="1:13" x14ac:dyDescent="0.25">
      <c r="A185" s="3">
        <v>2020</v>
      </c>
      <c r="B185" s="3" t="s">
        <v>48</v>
      </c>
      <c r="C185" s="3">
        <v>9</v>
      </c>
      <c r="D185" s="4" t="s">
        <v>42</v>
      </c>
      <c r="E185" s="11" t="s">
        <v>19</v>
      </c>
      <c r="F185" s="11"/>
      <c r="G185" s="11" t="s">
        <v>38</v>
      </c>
      <c r="H185" s="11"/>
      <c r="I185" s="5" t="str">
        <f t="shared" si="8"/>
        <v>Segéň</v>
      </c>
      <c r="J185" s="6" t="str">
        <f t="shared" si="9"/>
        <v>Segéň</v>
      </c>
      <c r="K185" s="7">
        <f t="shared" si="10"/>
        <v>1</v>
      </c>
      <c r="L185" s="7">
        <f t="shared" si="11"/>
        <v>0</v>
      </c>
      <c r="M185" s="3" t="s">
        <v>8</v>
      </c>
    </row>
    <row r="186" spans="1:13" x14ac:dyDescent="0.25">
      <c r="A186" s="3">
        <v>2020</v>
      </c>
      <c r="B186" s="3" t="s">
        <v>48</v>
      </c>
      <c r="C186" s="3">
        <v>10</v>
      </c>
      <c r="D186" s="4" t="s">
        <v>42</v>
      </c>
      <c r="E186" s="11" t="s">
        <v>24</v>
      </c>
      <c r="F186" s="11"/>
      <c r="G186" s="11" t="s">
        <v>22</v>
      </c>
      <c r="H186" s="11"/>
      <c r="I186" s="5" t="str">
        <f t="shared" si="8"/>
        <v>Ličko</v>
      </c>
      <c r="J186" s="6" t="str">
        <f t="shared" si="9"/>
        <v>Tarnóczy</v>
      </c>
      <c r="K186" s="7">
        <f t="shared" si="10"/>
        <v>0</v>
      </c>
      <c r="L186" s="7">
        <f t="shared" si="11"/>
        <v>1</v>
      </c>
      <c r="M186" s="3" t="s">
        <v>9</v>
      </c>
    </row>
    <row r="187" spans="1:13" x14ac:dyDescent="0.25">
      <c r="A187" s="3">
        <v>2020</v>
      </c>
      <c r="B187" s="3" t="s">
        <v>48</v>
      </c>
      <c r="C187" s="3">
        <v>11</v>
      </c>
      <c r="D187" s="4" t="s">
        <v>42</v>
      </c>
      <c r="E187" s="11" t="s">
        <v>37</v>
      </c>
      <c r="F187" s="11"/>
      <c r="G187" s="11" t="s">
        <v>80</v>
      </c>
      <c r="H187" s="11"/>
      <c r="I187" s="5" t="str">
        <f t="shared" si="8"/>
        <v>Just</v>
      </c>
      <c r="J187" s="6" t="str">
        <f t="shared" si="9"/>
        <v>Galbavý</v>
      </c>
      <c r="K187" s="7">
        <f t="shared" si="10"/>
        <v>0</v>
      </c>
      <c r="L187" s="7">
        <f t="shared" si="11"/>
        <v>1</v>
      </c>
      <c r="M187" s="3" t="s">
        <v>9</v>
      </c>
    </row>
    <row r="188" spans="1:13" x14ac:dyDescent="0.25">
      <c r="A188" s="3">
        <v>2020</v>
      </c>
      <c r="B188" s="3" t="s">
        <v>48</v>
      </c>
      <c r="C188" s="3">
        <v>12</v>
      </c>
      <c r="D188" s="4" t="s">
        <v>42</v>
      </c>
      <c r="E188" s="11" t="s">
        <v>69</v>
      </c>
      <c r="F188" s="11"/>
      <c r="G188" s="11" t="s">
        <v>79</v>
      </c>
      <c r="H188" s="11"/>
      <c r="I188" s="5" t="str">
        <f t="shared" si="8"/>
        <v>Šedivý</v>
      </c>
      <c r="J188" s="6" t="str">
        <f t="shared" si="9"/>
        <v>Matlák</v>
      </c>
      <c r="K188" s="7">
        <f t="shared" si="10"/>
        <v>1</v>
      </c>
      <c r="L188" s="7">
        <f t="shared" si="11"/>
        <v>0</v>
      </c>
      <c r="M188" s="3" t="s">
        <v>8</v>
      </c>
    </row>
    <row r="189" spans="1:13" x14ac:dyDescent="0.25">
      <c r="A189" s="3">
        <v>2021</v>
      </c>
      <c r="B189" s="3" t="s">
        <v>13</v>
      </c>
      <c r="C189" s="3">
        <v>1</v>
      </c>
      <c r="D189" s="4" t="s">
        <v>14</v>
      </c>
      <c r="E189" s="11" t="s">
        <v>73</v>
      </c>
      <c r="F189" s="11" t="s">
        <v>81</v>
      </c>
      <c r="G189" s="11" t="s">
        <v>46</v>
      </c>
      <c r="H189" s="11" t="s">
        <v>27</v>
      </c>
      <c r="I189" s="5" t="str">
        <f t="shared" si="8"/>
        <v>Krajčík, Višňovský</v>
      </c>
      <c r="J189" s="6" t="str">
        <f t="shared" si="9"/>
        <v>Bielik, Ryba</v>
      </c>
      <c r="K189" s="7">
        <f t="shared" si="10"/>
        <v>1</v>
      </c>
      <c r="L189" s="7">
        <f t="shared" si="11"/>
        <v>0</v>
      </c>
      <c r="M189" s="3" t="s">
        <v>8</v>
      </c>
    </row>
    <row r="190" spans="1:13" x14ac:dyDescent="0.25">
      <c r="A190" s="3">
        <v>2021</v>
      </c>
      <c r="B190" s="3" t="s">
        <v>13</v>
      </c>
      <c r="C190" s="3">
        <v>2</v>
      </c>
      <c r="D190" s="4" t="s">
        <v>14</v>
      </c>
      <c r="E190" s="11" t="s">
        <v>74</v>
      </c>
      <c r="F190" s="11" t="s">
        <v>77</v>
      </c>
      <c r="G190" s="11" t="s">
        <v>38</v>
      </c>
      <c r="H190" s="11" t="s">
        <v>82</v>
      </c>
      <c r="I190" s="5" t="str">
        <f t="shared" si="8"/>
        <v>Benčík, Holčík</v>
      </c>
      <c r="J190" s="6" t="str">
        <f t="shared" si="9"/>
        <v>Segéň, Valo</v>
      </c>
      <c r="K190" s="7">
        <f t="shared" si="10"/>
        <v>0</v>
      </c>
      <c r="L190" s="7">
        <f t="shared" si="11"/>
        <v>1</v>
      </c>
      <c r="M190" s="3" t="s">
        <v>9</v>
      </c>
    </row>
    <row r="191" spans="1:13" x14ac:dyDescent="0.25">
      <c r="A191" s="3">
        <v>2021</v>
      </c>
      <c r="B191" s="3" t="s">
        <v>13</v>
      </c>
      <c r="C191" s="3">
        <v>3</v>
      </c>
      <c r="D191" s="4" t="s">
        <v>14</v>
      </c>
      <c r="E191" s="11" t="s">
        <v>19</v>
      </c>
      <c r="F191" s="11" t="s">
        <v>25</v>
      </c>
      <c r="G191" s="11" t="s">
        <v>49</v>
      </c>
      <c r="H191" s="11" t="s">
        <v>50</v>
      </c>
      <c r="I191" s="5" t="str">
        <f t="shared" si="8"/>
        <v>Segéň, Schin</v>
      </c>
      <c r="J191" s="6" t="str">
        <f t="shared" si="9"/>
        <v>Beňo, Polák</v>
      </c>
      <c r="K191" s="7">
        <f t="shared" si="10"/>
        <v>1</v>
      </c>
      <c r="L191" s="7">
        <f t="shared" si="11"/>
        <v>0</v>
      </c>
      <c r="M191" s="3" t="s">
        <v>8</v>
      </c>
    </row>
    <row r="192" spans="1:13" x14ac:dyDescent="0.25">
      <c r="A192" s="3">
        <v>2021</v>
      </c>
      <c r="B192" s="3" t="s">
        <v>13</v>
      </c>
      <c r="C192" s="3">
        <v>4</v>
      </c>
      <c r="D192" s="4" t="s">
        <v>14</v>
      </c>
      <c r="E192" s="11" t="s">
        <v>78</v>
      </c>
      <c r="F192" s="11" t="s">
        <v>63</v>
      </c>
      <c r="G192" s="11" t="s">
        <v>75</v>
      </c>
      <c r="H192" s="11" t="s">
        <v>80</v>
      </c>
      <c r="I192" s="5" t="str">
        <f t="shared" si="8"/>
        <v>Potocký, Torma</v>
      </c>
      <c r="J192" s="6" t="str">
        <f t="shared" si="9"/>
        <v>Achimský, Galbavý</v>
      </c>
      <c r="K192" s="7">
        <f t="shared" si="10"/>
        <v>0</v>
      </c>
      <c r="L192" s="7">
        <f t="shared" si="11"/>
        <v>1</v>
      </c>
      <c r="M192" s="3" t="s">
        <v>9</v>
      </c>
    </row>
    <row r="193" spans="1:13" x14ac:dyDescent="0.25">
      <c r="A193" s="3">
        <v>2021</v>
      </c>
      <c r="B193" s="3" t="s">
        <v>13</v>
      </c>
      <c r="C193" s="3">
        <v>5</v>
      </c>
      <c r="D193" s="4" t="s">
        <v>40</v>
      </c>
      <c r="E193" s="11" t="s">
        <v>37</v>
      </c>
      <c r="F193" s="11" t="s">
        <v>24</v>
      </c>
      <c r="G193" s="11" t="s">
        <v>38</v>
      </c>
      <c r="H193" s="11" t="s">
        <v>82</v>
      </c>
      <c r="I193" s="5" t="str">
        <f t="shared" si="8"/>
        <v>Just, Ličko</v>
      </c>
      <c r="J193" s="6" t="str">
        <f t="shared" si="9"/>
        <v>Segéň, Valo</v>
      </c>
      <c r="K193" s="7">
        <f t="shared" si="10"/>
        <v>1</v>
      </c>
      <c r="L193" s="7">
        <f t="shared" si="11"/>
        <v>0</v>
      </c>
      <c r="M193" s="3" t="s">
        <v>8</v>
      </c>
    </row>
    <row r="194" spans="1:13" x14ac:dyDescent="0.25">
      <c r="A194" s="3">
        <v>2021</v>
      </c>
      <c r="B194" s="3" t="s">
        <v>13</v>
      </c>
      <c r="C194" s="3">
        <v>6</v>
      </c>
      <c r="D194" s="4" t="s">
        <v>40</v>
      </c>
      <c r="E194" s="11" t="s">
        <v>73</v>
      </c>
      <c r="F194" s="11" t="s">
        <v>81</v>
      </c>
      <c r="G194" s="11" t="s">
        <v>46</v>
      </c>
      <c r="H194" s="11" t="s">
        <v>26</v>
      </c>
      <c r="I194" s="5" t="str">
        <f t="shared" si="8"/>
        <v>Krajčík, Višňovský</v>
      </c>
      <c r="J194" s="6" t="str">
        <f t="shared" si="9"/>
        <v>Bielik, Sill</v>
      </c>
      <c r="K194" s="7">
        <f t="shared" si="10"/>
        <v>0</v>
      </c>
      <c r="L194" s="7">
        <f t="shared" si="11"/>
        <v>1</v>
      </c>
      <c r="M194" s="3" t="s">
        <v>9</v>
      </c>
    </row>
    <row r="195" spans="1:13" x14ac:dyDescent="0.25">
      <c r="A195" s="3">
        <v>2021</v>
      </c>
      <c r="B195" s="3" t="s">
        <v>13</v>
      </c>
      <c r="C195" s="3">
        <v>7</v>
      </c>
      <c r="D195" s="4" t="s">
        <v>40</v>
      </c>
      <c r="E195" s="11" t="s">
        <v>53</v>
      </c>
      <c r="F195" s="11" t="s">
        <v>25</v>
      </c>
      <c r="G195" s="11" t="s">
        <v>83</v>
      </c>
      <c r="H195" s="11" t="s">
        <v>22</v>
      </c>
      <c r="I195" s="5" t="str">
        <f t="shared" ref="I195:I244" si="12">IF(E195&gt;" ",IF(SEARCH(" ",E195)&gt;0,LEFT(E195,SEARCH(" ",E195)-1)) &amp; IF(F195&gt;" ",", " &amp; IF(SEARCH(" ",F195)&gt;0, LEFT(F195,SEARCH(" ",F195)-1)),""),"")</f>
        <v>Machcinik, Schin</v>
      </c>
      <c r="J195" s="6" t="str">
        <f t="shared" ref="J195:J258" si="13">IF(G195&gt;" ",IF(SEARCH(" ",G195)&gt;0,LEFT(G195,SEARCH(" ",G195)-1)) &amp; IF(H195&gt;" ",", " &amp; IF(SEARCH(" ",H195)&gt;0, LEFT(H195,SEARCH(" ",H195)-1)),""),"")</f>
        <v>Kotlárik, Tarnóczy</v>
      </c>
      <c r="K195" s="7">
        <f t="shared" ref="K195:K258" si="14">IF(M195="Lefties",1,IF(M195="Righties",0,IF(M195="A/S",1/2,"")))</f>
        <v>0</v>
      </c>
      <c r="L195" s="7">
        <f t="shared" ref="L195:L258" si="15">IF(M195="Righties",1,IF(M195="Lefties",0,IF(M195="A/S",1/2,"")))</f>
        <v>1</v>
      </c>
      <c r="M195" s="3" t="s">
        <v>9</v>
      </c>
    </row>
    <row r="196" spans="1:13" x14ac:dyDescent="0.25">
      <c r="A196" s="3">
        <v>2021</v>
      </c>
      <c r="B196" s="3" t="s">
        <v>13</v>
      </c>
      <c r="C196" s="3">
        <v>8</v>
      </c>
      <c r="D196" s="4" t="s">
        <v>40</v>
      </c>
      <c r="E196" s="11" t="s">
        <v>19</v>
      </c>
      <c r="F196" s="11" t="s">
        <v>69</v>
      </c>
      <c r="G196" s="11" t="s">
        <v>49</v>
      </c>
      <c r="H196" s="11" t="s">
        <v>79</v>
      </c>
      <c r="I196" s="5" t="str">
        <f t="shared" si="12"/>
        <v>Segéň, Šedivý</v>
      </c>
      <c r="J196" s="6" t="str">
        <f t="shared" si="13"/>
        <v>Beňo, Matlák</v>
      </c>
      <c r="K196" s="7">
        <f t="shared" si="14"/>
        <v>0</v>
      </c>
      <c r="L196" s="7">
        <f t="shared" si="15"/>
        <v>1</v>
      </c>
      <c r="M196" s="3" t="s">
        <v>9</v>
      </c>
    </row>
    <row r="197" spans="1:13" x14ac:dyDescent="0.25">
      <c r="A197" s="3">
        <v>2021</v>
      </c>
      <c r="B197" s="3" t="s">
        <v>41</v>
      </c>
      <c r="C197" s="3">
        <v>1</v>
      </c>
      <c r="D197" s="4" t="s">
        <v>14</v>
      </c>
      <c r="E197" s="11" t="s">
        <v>24</v>
      </c>
      <c r="F197" s="11" t="s">
        <v>63</v>
      </c>
      <c r="G197" s="11" t="s">
        <v>49</v>
      </c>
      <c r="H197" s="11" t="s">
        <v>50</v>
      </c>
      <c r="I197" s="5" t="str">
        <f t="shared" si="12"/>
        <v>Ličko, Torma</v>
      </c>
      <c r="J197" s="6" t="str">
        <f t="shared" si="13"/>
        <v>Beňo, Polák</v>
      </c>
      <c r="K197" s="7">
        <f t="shared" si="14"/>
        <v>0</v>
      </c>
      <c r="L197" s="7">
        <f t="shared" si="15"/>
        <v>1</v>
      </c>
      <c r="M197" s="3" t="s">
        <v>9</v>
      </c>
    </row>
    <row r="198" spans="1:13" x14ac:dyDescent="0.25">
      <c r="A198" s="3">
        <v>2021</v>
      </c>
      <c r="B198" s="3" t="s">
        <v>41</v>
      </c>
      <c r="C198" s="3">
        <v>2</v>
      </c>
      <c r="D198" s="4" t="s">
        <v>14</v>
      </c>
      <c r="E198" s="11" t="s">
        <v>74</v>
      </c>
      <c r="F198" s="11" t="s">
        <v>25</v>
      </c>
      <c r="G198" s="11" t="s">
        <v>75</v>
      </c>
      <c r="H198" s="11" t="s">
        <v>80</v>
      </c>
      <c r="I198" s="5" t="str">
        <f t="shared" si="12"/>
        <v>Benčík, Schin</v>
      </c>
      <c r="J198" s="6" t="str">
        <f t="shared" si="13"/>
        <v>Achimský, Galbavý</v>
      </c>
      <c r="K198" s="7">
        <f t="shared" si="14"/>
        <v>0</v>
      </c>
      <c r="L198" s="7">
        <f t="shared" si="15"/>
        <v>1</v>
      </c>
      <c r="M198" s="3" t="s">
        <v>9</v>
      </c>
    </row>
    <row r="199" spans="1:13" x14ac:dyDescent="0.25">
      <c r="A199" s="3">
        <v>2021</v>
      </c>
      <c r="B199" s="3" t="s">
        <v>41</v>
      </c>
      <c r="C199" s="3">
        <v>3</v>
      </c>
      <c r="D199" s="4" t="s">
        <v>14</v>
      </c>
      <c r="E199" s="11" t="s">
        <v>73</v>
      </c>
      <c r="F199" s="11" t="s">
        <v>81</v>
      </c>
      <c r="G199" s="11" t="s">
        <v>46</v>
      </c>
      <c r="H199" s="11" t="s">
        <v>26</v>
      </c>
      <c r="I199" s="5" t="str">
        <f t="shared" si="12"/>
        <v>Krajčík, Višňovský</v>
      </c>
      <c r="J199" s="6" t="str">
        <f t="shared" si="13"/>
        <v>Bielik, Sill</v>
      </c>
      <c r="K199" s="7">
        <f t="shared" si="14"/>
        <v>1</v>
      </c>
      <c r="L199" s="7">
        <f t="shared" si="15"/>
        <v>0</v>
      </c>
      <c r="M199" s="3" t="s">
        <v>8</v>
      </c>
    </row>
    <row r="200" spans="1:13" x14ac:dyDescent="0.25">
      <c r="A200" s="3">
        <v>2021</v>
      </c>
      <c r="B200" s="3" t="s">
        <v>41</v>
      </c>
      <c r="C200" s="3">
        <v>4</v>
      </c>
      <c r="D200" s="4" t="s">
        <v>14</v>
      </c>
      <c r="E200" s="11" t="s">
        <v>77</v>
      </c>
      <c r="F200" s="11" t="s">
        <v>19</v>
      </c>
      <c r="G200" s="11" t="s">
        <v>38</v>
      </c>
      <c r="H200" s="11" t="s">
        <v>82</v>
      </c>
      <c r="I200" s="5" t="str">
        <f t="shared" si="12"/>
        <v>Holčík, Segéň</v>
      </c>
      <c r="J200" s="6" t="str">
        <f t="shared" si="13"/>
        <v>Segéň, Valo</v>
      </c>
      <c r="K200" s="7">
        <f t="shared" si="14"/>
        <v>1</v>
      </c>
      <c r="L200" s="7">
        <f t="shared" si="15"/>
        <v>0</v>
      </c>
      <c r="M200" s="3" t="s">
        <v>8</v>
      </c>
    </row>
    <row r="201" spans="1:13" x14ac:dyDescent="0.25">
      <c r="A201" s="3">
        <v>2021</v>
      </c>
      <c r="B201" s="3" t="s">
        <v>41</v>
      </c>
      <c r="C201" s="3">
        <v>5</v>
      </c>
      <c r="D201" s="4" t="s">
        <v>40</v>
      </c>
      <c r="E201" s="11" t="s">
        <v>69</v>
      </c>
      <c r="F201" s="11" t="s">
        <v>63</v>
      </c>
      <c r="G201" s="11" t="s">
        <v>79</v>
      </c>
      <c r="H201" s="11" t="s">
        <v>50</v>
      </c>
      <c r="I201" s="5" t="str">
        <f t="shared" si="12"/>
        <v>Šedivý, Torma</v>
      </c>
      <c r="J201" s="6" t="str">
        <f t="shared" si="13"/>
        <v>Matlák, Polák</v>
      </c>
      <c r="K201" s="7">
        <f t="shared" si="14"/>
        <v>0</v>
      </c>
      <c r="L201" s="7">
        <f t="shared" si="15"/>
        <v>1</v>
      </c>
      <c r="M201" s="3" t="s">
        <v>9</v>
      </c>
    </row>
    <row r="202" spans="1:13" x14ac:dyDescent="0.25">
      <c r="A202" s="3">
        <v>2021</v>
      </c>
      <c r="B202" s="3" t="s">
        <v>41</v>
      </c>
      <c r="C202" s="3">
        <v>6</v>
      </c>
      <c r="D202" s="4" t="s">
        <v>40</v>
      </c>
      <c r="E202" s="11" t="s">
        <v>37</v>
      </c>
      <c r="F202" s="11" t="s">
        <v>19</v>
      </c>
      <c r="G202" s="11" t="s">
        <v>83</v>
      </c>
      <c r="H202" s="11" t="s">
        <v>22</v>
      </c>
      <c r="I202" s="5" t="str">
        <f t="shared" si="12"/>
        <v>Just, Segéň</v>
      </c>
      <c r="J202" s="6" t="str">
        <f t="shared" si="13"/>
        <v>Kotlárik, Tarnóczy</v>
      </c>
      <c r="K202" s="7">
        <f t="shared" si="14"/>
        <v>0.5</v>
      </c>
      <c r="L202" s="7">
        <f t="shared" si="15"/>
        <v>0.5</v>
      </c>
      <c r="M202" s="3" t="s">
        <v>23</v>
      </c>
    </row>
    <row r="203" spans="1:13" x14ac:dyDescent="0.25">
      <c r="A203" s="3">
        <v>2021</v>
      </c>
      <c r="B203" s="3" t="s">
        <v>41</v>
      </c>
      <c r="C203" s="3">
        <v>7</v>
      </c>
      <c r="D203" s="4" t="s">
        <v>40</v>
      </c>
      <c r="E203" s="11" t="s">
        <v>77</v>
      </c>
      <c r="F203" s="11" t="s">
        <v>53</v>
      </c>
      <c r="G203" s="11" t="s">
        <v>75</v>
      </c>
      <c r="H203" s="11" t="s">
        <v>80</v>
      </c>
      <c r="I203" s="5" t="str">
        <f t="shared" si="12"/>
        <v>Holčík, Machcinik</v>
      </c>
      <c r="J203" s="6" t="str">
        <f t="shared" si="13"/>
        <v>Achimský, Galbavý</v>
      </c>
      <c r="K203" s="7">
        <f t="shared" si="14"/>
        <v>0</v>
      </c>
      <c r="L203" s="7">
        <f t="shared" si="15"/>
        <v>1</v>
      </c>
      <c r="M203" s="3" t="s">
        <v>9</v>
      </c>
    </row>
    <row r="204" spans="1:13" x14ac:dyDescent="0.25">
      <c r="A204" s="3">
        <v>2021</v>
      </c>
      <c r="B204" s="3" t="s">
        <v>41</v>
      </c>
      <c r="C204" s="3">
        <v>8</v>
      </c>
      <c r="D204" s="4" t="s">
        <v>40</v>
      </c>
      <c r="E204" s="11" t="s">
        <v>73</v>
      </c>
      <c r="F204" s="11" t="s">
        <v>78</v>
      </c>
      <c r="G204" s="11" t="s">
        <v>49</v>
      </c>
      <c r="H204" s="11" t="s">
        <v>27</v>
      </c>
      <c r="I204" s="5" t="str">
        <f t="shared" si="12"/>
        <v>Krajčík, Potocký</v>
      </c>
      <c r="J204" s="6" t="str">
        <f t="shared" si="13"/>
        <v>Beňo, Ryba</v>
      </c>
      <c r="K204" s="7">
        <f t="shared" si="14"/>
        <v>0</v>
      </c>
      <c r="L204" s="7">
        <f t="shared" si="15"/>
        <v>1</v>
      </c>
      <c r="M204" s="3" t="s">
        <v>9</v>
      </c>
    </row>
    <row r="205" spans="1:13" x14ac:dyDescent="0.25">
      <c r="A205" s="3">
        <v>2021</v>
      </c>
      <c r="B205" s="3" t="s">
        <v>48</v>
      </c>
      <c r="C205" s="3">
        <v>1</v>
      </c>
      <c r="D205" s="4" t="s">
        <v>42</v>
      </c>
      <c r="E205" s="11" t="s">
        <v>73</v>
      </c>
      <c r="F205" s="11"/>
      <c r="G205" s="11" t="s">
        <v>38</v>
      </c>
      <c r="H205" s="11"/>
      <c r="I205" s="5" t="str">
        <f t="shared" si="12"/>
        <v>Krajčík</v>
      </c>
      <c r="J205" s="6" t="str">
        <f t="shared" si="13"/>
        <v>Segéň</v>
      </c>
      <c r="K205" s="7">
        <f t="shared" si="14"/>
        <v>0.5</v>
      </c>
      <c r="L205" s="7">
        <f t="shared" si="15"/>
        <v>0.5</v>
      </c>
      <c r="M205" s="3" t="s">
        <v>23</v>
      </c>
    </row>
    <row r="206" spans="1:13" x14ac:dyDescent="0.25">
      <c r="A206" s="3">
        <v>2021</v>
      </c>
      <c r="B206" s="3" t="s">
        <v>48</v>
      </c>
      <c r="C206" s="3">
        <v>2</v>
      </c>
      <c r="D206" s="4" t="s">
        <v>42</v>
      </c>
      <c r="E206" s="11" t="s">
        <v>81</v>
      </c>
      <c r="F206" s="11"/>
      <c r="G206" s="11" t="s">
        <v>27</v>
      </c>
      <c r="H206" s="11"/>
      <c r="I206" s="5" t="str">
        <f t="shared" si="12"/>
        <v>Višňovský</v>
      </c>
      <c r="J206" s="6" t="str">
        <f t="shared" si="13"/>
        <v>Ryba</v>
      </c>
      <c r="K206" s="7">
        <f t="shared" si="14"/>
        <v>0</v>
      </c>
      <c r="L206" s="7">
        <f t="shared" si="15"/>
        <v>1</v>
      </c>
      <c r="M206" s="3" t="s">
        <v>9</v>
      </c>
    </row>
    <row r="207" spans="1:13" x14ac:dyDescent="0.25">
      <c r="A207" s="3">
        <v>2021</v>
      </c>
      <c r="B207" s="3" t="s">
        <v>48</v>
      </c>
      <c r="C207" s="3">
        <v>3</v>
      </c>
      <c r="D207" s="4" t="s">
        <v>42</v>
      </c>
      <c r="E207" s="11" t="s">
        <v>25</v>
      </c>
      <c r="F207" s="11"/>
      <c r="G207" s="11" t="s">
        <v>49</v>
      </c>
      <c r="H207" s="11"/>
      <c r="I207" s="5" t="str">
        <f t="shared" si="12"/>
        <v>Schin</v>
      </c>
      <c r="J207" s="6" t="str">
        <f t="shared" si="13"/>
        <v>Beňo</v>
      </c>
      <c r="K207" s="7">
        <f t="shared" si="14"/>
        <v>0</v>
      </c>
      <c r="L207" s="7">
        <f t="shared" si="15"/>
        <v>1</v>
      </c>
      <c r="M207" s="3" t="s">
        <v>9</v>
      </c>
    </row>
    <row r="208" spans="1:13" x14ac:dyDescent="0.25">
      <c r="A208" s="3">
        <v>2021</v>
      </c>
      <c r="B208" s="3" t="s">
        <v>48</v>
      </c>
      <c r="C208" s="3">
        <v>4</v>
      </c>
      <c r="D208" s="4" t="s">
        <v>42</v>
      </c>
      <c r="E208" s="11" t="s">
        <v>78</v>
      </c>
      <c r="F208" s="11"/>
      <c r="G208" s="11" t="s">
        <v>82</v>
      </c>
      <c r="H208" s="11"/>
      <c r="I208" s="5" t="str">
        <f t="shared" si="12"/>
        <v>Potocký</v>
      </c>
      <c r="J208" s="6" t="str">
        <f t="shared" si="13"/>
        <v>Valo</v>
      </c>
      <c r="K208" s="7">
        <f t="shared" si="14"/>
        <v>0</v>
      </c>
      <c r="L208" s="7">
        <f t="shared" si="15"/>
        <v>1</v>
      </c>
      <c r="M208" s="3" t="s">
        <v>9</v>
      </c>
    </row>
    <row r="209" spans="1:13" x14ac:dyDescent="0.25">
      <c r="A209" s="3">
        <v>2021</v>
      </c>
      <c r="B209" s="3" t="s">
        <v>48</v>
      </c>
      <c r="C209" s="3">
        <v>5</v>
      </c>
      <c r="D209" s="4" t="s">
        <v>42</v>
      </c>
      <c r="E209" s="11" t="s">
        <v>74</v>
      </c>
      <c r="F209" s="11"/>
      <c r="G209" s="11" t="s">
        <v>46</v>
      </c>
      <c r="H209" s="11"/>
      <c r="I209" s="5" t="str">
        <f t="shared" si="12"/>
        <v>Benčík</v>
      </c>
      <c r="J209" s="6" t="str">
        <f t="shared" si="13"/>
        <v>Bielik</v>
      </c>
      <c r="K209" s="7">
        <f t="shared" si="14"/>
        <v>1</v>
      </c>
      <c r="L209" s="7">
        <f t="shared" si="15"/>
        <v>0</v>
      </c>
      <c r="M209" s="3" t="s">
        <v>8</v>
      </c>
    </row>
    <row r="210" spans="1:13" x14ac:dyDescent="0.25">
      <c r="A210" s="3">
        <v>2021</v>
      </c>
      <c r="B210" s="3" t="s">
        <v>48</v>
      </c>
      <c r="C210" s="3">
        <v>6</v>
      </c>
      <c r="D210" s="4" t="s">
        <v>42</v>
      </c>
      <c r="E210" s="11" t="s">
        <v>77</v>
      </c>
      <c r="F210" s="11"/>
      <c r="G210" s="11" t="s">
        <v>50</v>
      </c>
      <c r="H210" s="11"/>
      <c r="I210" s="5" t="str">
        <f t="shared" si="12"/>
        <v>Holčík</v>
      </c>
      <c r="J210" s="6" t="str">
        <f t="shared" si="13"/>
        <v>Polák</v>
      </c>
      <c r="K210" s="7">
        <f t="shared" si="14"/>
        <v>1</v>
      </c>
      <c r="L210" s="7">
        <f t="shared" si="15"/>
        <v>0</v>
      </c>
      <c r="M210" s="3" t="s">
        <v>8</v>
      </c>
    </row>
    <row r="211" spans="1:13" x14ac:dyDescent="0.25">
      <c r="A211" s="3">
        <v>2021</v>
      </c>
      <c r="B211" s="3" t="s">
        <v>48</v>
      </c>
      <c r="C211" s="3">
        <v>7</v>
      </c>
      <c r="D211" s="4" t="s">
        <v>42</v>
      </c>
      <c r="E211" s="11" t="s">
        <v>63</v>
      </c>
      <c r="F211" s="11"/>
      <c r="G211" s="11" t="s">
        <v>79</v>
      </c>
      <c r="H211" s="11"/>
      <c r="I211" s="5" t="str">
        <f t="shared" si="12"/>
        <v>Torma</v>
      </c>
      <c r="J211" s="6" t="str">
        <f t="shared" si="13"/>
        <v>Matlák</v>
      </c>
      <c r="K211" s="7">
        <f t="shared" si="14"/>
        <v>0</v>
      </c>
      <c r="L211" s="7">
        <f t="shared" si="15"/>
        <v>1</v>
      </c>
      <c r="M211" s="3" t="s">
        <v>9</v>
      </c>
    </row>
    <row r="212" spans="1:13" x14ac:dyDescent="0.25">
      <c r="A212" s="3">
        <v>2021</v>
      </c>
      <c r="B212" s="3" t="s">
        <v>48</v>
      </c>
      <c r="C212" s="3">
        <v>8</v>
      </c>
      <c r="D212" s="4" t="s">
        <v>42</v>
      </c>
      <c r="E212" s="11" t="s">
        <v>19</v>
      </c>
      <c r="F212" s="11"/>
      <c r="G212" s="11" t="s">
        <v>83</v>
      </c>
      <c r="H212" s="11"/>
      <c r="I212" s="5" t="str">
        <f t="shared" si="12"/>
        <v>Segéň</v>
      </c>
      <c r="J212" s="6" t="str">
        <f t="shared" si="13"/>
        <v>Kotlárik</v>
      </c>
      <c r="K212" s="7">
        <f t="shared" si="14"/>
        <v>1</v>
      </c>
      <c r="L212" s="7">
        <f t="shared" si="15"/>
        <v>0</v>
      </c>
      <c r="M212" s="3" t="s">
        <v>8</v>
      </c>
    </row>
    <row r="213" spans="1:13" x14ac:dyDescent="0.25">
      <c r="A213" s="3">
        <v>2021</v>
      </c>
      <c r="B213" s="3" t="s">
        <v>48</v>
      </c>
      <c r="C213" s="3">
        <v>9</v>
      </c>
      <c r="D213" s="4" t="s">
        <v>42</v>
      </c>
      <c r="E213" s="11" t="s">
        <v>24</v>
      </c>
      <c r="F213" s="11"/>
      <c r="G213" s="11" t="s">
        <v>26</v>
      </c>
      <c r="H213" s="11"/>
      <c r="I213" s="5" t="str">
        <f t="shared" si="12"/>
        <v>Ličko</v>
      </c>
      <c r="J213" s="6" t="str">
        <f t="shared" si="13"/>
        <v>Sill</v>
      </c>
      <c r="K213" s="7">
        <f t="shared" si="14"/>
        <v>0</v>
      </c>
      <c r="L213" s="7">
        <f t="shared" si="15"/>
        <v>1</v>
      </c>
      <c r="M213" s="3" t="s">
        <v>9</v>
      </c>
    </row>
    <row r="214" spans="1:13" x14ac:dyDescent="0.25">
      <c r="A214" s="3">
        <v>2021</v>
      </c>
      <c r="B214" s="3" t="s">
        <v>48</v>
      </c>
      <c r="C214" s="3">
        <v>10</v>
      </c>
      <c r="D214" s="4" t="s">
        <v>42</v>
      </c>
      <c r="E214" s="11" t="s">
        <v>37</v>
      </c>
      <c r="F214" s="11"/>
      <c r="G214" s="11" t="s">
        <v>80</v>
      </c>
      <c r="H214" s="11"/>
      <c r="I214" s="5" t="str">
        <f t="shared" si="12"/>
        <v>Just</v>
      </c>
      <c r="J214" s="6" t="str">
        <f t="shared" si="13"/>
        <v>Galbavý</v>
      </c>
      <c r="K214" s="7">
        <f t="shared" si="14"/>
        <v>0</v>
      </c>
      <c r="L214" s="7">
        <f t="shared" si="15"/>
        <v>1</v>
      </c>
      <c r="M214" s="3" t="s">
        <v>9</v>
      </c>
    </row>
    <row r="215" spans="1:13" x14ac:dyDescent="0.25">
      <c r="A215" s="3">
        <v>2021</v>
      </c>
      <c r="B215" s="3" t="s">
        <v>48</v>
      </c>
      <c r="C215" s="3">
        <v>11</v>
      </c>
      <c r="D215" s="4" t="s">
        <v>42</v>
      </c>
      <c r="E215" s="11" t="s">
        <v>53</v>
      </c>
      <c r="F215" s="11"/>
      <c r="G215" s="11" t="s">
        <v>75</v>
      </c>
      <c r="H215" s="11"/>
      <c r="I215" s="5" t="str">
        <f t="shared" si="12"/>
        <v>Machcinik</v>
      </c>
      <c r="J215" s="6" t="str">
        <f t="shared" si="13"/>
        <v>Achimský</v>
      </c>
      <c r="K215" s="7">
        <f t="shared" si="14"/>
        <v>0</v>
      </c>
      <c r="L215" s="7">
        <f t="shared" si="15"/>
        <v>1</v>
      </c>
      <c r="M215" s="3" t="s">
        <v>9</v>
      </c>
    </row>
    <row r="216" spans="1:13" x14ac:dyDescent="0.25">
      <c r="A216" s="3">
        <v>2021</v>
      </c>
      <c r="B216" s="3" t="s">
        <v>48</v>
      </c>
      <c r="C216" s="3">
        <v>12</v>
      </c>
      <c r="D216" s="4" t="s">
        <v>42</v>
      </c>
      <c r="E216" s="11" t="s">
        <v>69</v>
      </c>
      <c r="F216" s="11"/>
      <c r="G216" s="11" t="s">
        <v>22</v>
      </c>
      <c r="H216" s="11"/>
      <c r="I216" s="5" t="str">
        <f t="shared" si="12"/>
        <v>Šedivý</v>
      </c>
      <c r="J216" s="6" t="str">
        <f t="shared" si="13"/>
        <v>Tarnóczy</v>
      </c>
      <c r="K216" s="7">
        <f t="shared" si="14"/>
        <v>1</v>
      </c>
      <c r="L216" s="7">
        <f t="shared" si="15"/>
        <v>0</v>
      </c>
      <c r="M216" s="3" t="s">
        <v>8</v>
      </c>
    </row>
    <row r="217" spans="1:13" x14ac:dyDescent="0.25">
      <c r="A217" s="3">
        <v>2022</v>
      </c>
      <c r="B217" s="3" t="s">
        <v>13</v>
      </c>
      <c r="C217" s="3">
        <v>1</v>
      </c>
      <c r="D217" s="4" t="s">
        <v>14</v>
      </c>
      <c r="E217" s="11" t="s">
        <v>53</v>
      </c>
      <c r="F217" s="11" t="s">
        <v>69</v>
      </c>
      <c r="G217" s="11" t="s">
        <v>38</v>
      </c>
      <c r="H217" s="11" t="s">
        <v>82</v>
      </c>
      <c r="I217" s="5" t="str">
        <f t="shared" si="12"/>
        <v>Machcinik, Šedivý</v>
      </c>
      <c r="J217" s="6" t="str">
        <f t="shared" si="13"/>
        <v>Segéň, Valo</v>
      </c>
      <c r="K217" s="7">
        <f t="shared" si="14"/>
        <v>1</v>
      </c>
      <c r="L217" s="7">
        <f t="shared" si="15"/>
        <v>0</v>
      </c>
      <c r="M217" s="3" t="s">
        <v>8</v>
      </c>
    </row>
    <row r="218" spans="1:13" x14ac:dyDescent="0.25">
      <c r="A218" s="3">
        <v>2022</v>
      </c>
      <c r="B218" s="3" t="s">
        <v>13</v>
      </c>
      <c r="C218" s="3">
        <v>2</v>
      </c>
      <c r="D218" s="4" t="s">
        <v>14</v>
      </c>
      <c r="E218" s="11" t="s">
        <v>55</v>
      </c>
      <c r="F218" s="11" t="s">
        <v>25</v>
      </c>
      <c r="G218" s="11" t="s">
        <v>75</v>
      </c>
      <c r="H218" s="11" t="s">
        <v>46</v>
      </c>
      <c r="I218" s="5" t="str">
        <f t="shared" si="12"/>
        <v>Antala, Schin</v>
      </c>
      <c r="J218" s="6" t="str">
        <f t="shared" si="13"/>
        <v>Achimský, Bielik</v>
      </c>
      <c r="K218" s="7">
        <f t="shared" si="14"/>
        <v>1</v>
      </c>
      <c r="L218" s="7">
        <f t="shared" si="15"/>
        <v>0</v>
      </c>
      <c r="M218" s="3" t="s">
        <v>8</v>
      </c>
    </row>
    <row r="219" spans="1:13" x14ac:dyDescent="0.25">
      <c r="A219" s="3">
        <v>2022</v>
      </c>
      <c r="B219" s="3" t="s">
        <v>13</v>
      </c>
      <c r="C219" s="3">
        <v>3</v>
      </c>
      <c r="D219" s="4" t="s">
        <v>14</v>
      </c>
      <c r="E219" s="11" t="s">
        <v>73</v>
      </c>
      <c r="F219" s="11" t="s">
        <v>81</v>
      </c>
      <c r="G219" s="11" t="s">
        <v>49</v>
      </c>
      <c r="H219" s="11" t="s">
        <v>50</v>
      </c>
      <c r="I219" s="5" t="str">
        <f t="shared" si="12"/>
        <v>Krajčík, Višňovský</v>
      </c>
      <c r="J219" s="6" t="str">
        <f t="shared" si="13"/>
        <v>Beňo, Polák</v>
      </c>
      <c r="K219" s="7">
        <f t="shared" si="14"/>
        <v>1</v>
      </c>
      <c r="L219" s="7">
        <f t="shared" si="15"/>
        <v>0</v>
      </c>
      <c r="M219" s="3" t="s">
        <v>8</v>
      </c>
    </row>
    <row r="220" spans="1:13" x14ac:dyDescent="0.25">
      <c r="A220" s="3">
        <v>2022</v>
      </c>
      <c r="B220" s="3" t="s">
        <v>13</v>
      </c>
      <c r="C220" s="3">
        <v>4</v>
      </c>
      <c r="D220" s="4" t="s">
        <v>14</v>
      </c>
      <c r="E220" s="11" t="s">
        <v>77</v>
      </c>
      <c r="F220" s="11" t="s">
        <v>19</v>
      </c>
      <c r="G220" s="11" t="s">
        <v>80</v>
      </c>
      <c r="H220" s="11" t="s">
        <v>26</v>
      </c>
      <c r="I220" s="5" t="str">
        <f t="shared" si="12"/>
        <v>Holčík, Segéň</v>
      </c>
      <c r="J220" s="6" t="str">
        <f t="shared" si="13"/>
        <v>Galbavý, Sill</v>
      </c>
      <c r="K220" s="7">
        <f t="shared" si="14"/>
        <v>0.5</v>
      </c>
      <c r="L220" s="7">
        <f t="shared" si="15"/>
        <v>0.5</v>
      </c>
      <c r="M220" s="3" t="s">
        <v>23</v>
      </c>
    </row>
    <row r="221" spans="1:13" x14ac:dyDescent="0.25">
      <c r="A221" s="3">
        <v>2022</v>
      </c>
      <c r="B221" s="3" t="s">
        <v>13</v>
      </c>
      <c r="C221" s="3">
        <v>5</v>
      </c>
      <c r="D221" s="4" t="s">
        <v>40</v>
      </c>
      <c r="E221" s="11" t="s">
        <v>84</v>
      </c>
      <c r="F221" s="11" t="s">
        <v>73</v>
      </c>
      <c r="G221" s="11" t="s">
        <v>83</v>
      </c>
      <c r="H221" s="11" t="s">
        <v>22</v>
      </c>
      <c r="I221" s="5" t="str">
        <f t="shared" si="12"/>
        <v>Chochol, Krajčík</v>
      </c>
      <c r="J221" s="6" t="str">
        <f t="shared" si="13"/>
        <v>Kotlárik, Tarnóczy</v>
      </c>
      <c r="K221" s="7">
        <f t="shared" si="14"/>
        <v>0.5</v>
      </c>
      <c r="L221" s="7">
        <f t="shared" si="15"/>
        <v>0.5</v>
      </c>
      <c r="M221" s="3" t="s">
        <v>23</v>
      </c>
    </row>
    <row r="222" spans="1:13" x14ac:dyDescent="0.25">
      <c r="A222" s="3">
        <v>2022</v>
      </c>
      <c r="B222" s="3" t="s">
        <v>13</v>
      </c>
      <c r="C222" s="3">
        <v>6</v>
      </c>
      <c r="D222" s="4" t="s">
        <v>40</v>
      </c>
      <c r="E222" s="11" t="s">
        <v>74</v>
      </c>
      <c r="F222" s="11" t="s">
        <v>77</v>
      </c>
      <c r="G222" s="11" t="s">
        <v>17</v>
      </c>
      <c r="H222" s="11" t="s">
        <v>46</v>
      </c>
      <c r="I222" s="5" t="str">
        <f t="shared" si="12"/>
        <v>Benčík, Holčík</v>
      </c>
      <c r="J222" s="6" t="str">
        <f t="shared" si="13"/>
        <v>Baláž, Bielik</v>
      </c>
      <c r="K222" s="7">
        <f t="shared" si="14"/>
        <v>0</v>
      </c>
      <c r="L222" s="7">
        <f t="shared" si="15"/>
        <v>1</v>
      </c>
      <c r="M222" s="3" t="s">
        <v>9</v>
      </c>
    </row>
    <row r="223" spans="1:13" x14ac:dyDescent="0.25">
      <c r="A223" s="3">
        <v>2022</v>
      </c>
      <c r="B223" s="3" t="s">
        <v>13</v>
      </c>
      <c r="C223" s="3">
        <v>7</v>
      </c>
      <c r="D223" s="4" t="s">
        <v>40</v>
      </c>
      <c r="E223" s="11" t="s">
        <v>55</v>
      </c>
      <c r="F223" s="11" t="s">
        <v>63</v>
      </c>
      <c r="G223" s="11" t="s">
        <v>49</v>
      </c>
      <c r="H223" s="11" t="s">
        <v>27</v>
      </c>
      <c r="I223" s="5" t="str">
        <f t="shared" si="12"/>
        <v>Antala, Torma</v>
      </c>
      <c r="J223" s="6" t="str">
        <f t="shared" si="13"/>
        <v>Beňo, Ryba</v>
      </c>
      <c r="K223" s="7">
        <f t="shared" si="14"/>
        <v>0</v>
      </c>
      <c r="L223" s="7">
        <f t="shared" si="15"/>
        <v>1</v>
      </c>
      <c r="M223" s="3" t="s">
        <v>9</v>
      </c>
    </row>
    <row r="224" spans="1:13" x14ac:dyDescent="0.25">
      <c r="A224" s="3">
        <v>2022</v>
      </c>
      <c r="B224" s="3" t="s">
        <v>13</v>
      </c>
      <c r="C224" s="3">
        <v>8</v>
      </c>
      <c r="D224" s="4" t="s">
        <v>40</v>
      </c>
      <c r="E224" s="11" t="s">
        <v>37</v>
      </c>
      <c r="F224" s="11" t="s">
        <v>19</v>
      </c>
      <c r="G224" s="11" t="s">
        <v>80</v>
      </c>
      <c r="H224" s="11" t="s">
        <v>82</v>
      </c>
      <c r="I224" s="5" t="str">
        <f t="shared" si="12"/>
        <v>Just, Segéň</v>
      </c>
      <c r="J224" s="6" t="str">
        <f t="shared" si="13"/>
        <v>Galbavý, Valo</v>
      </c>
      <c r="K224" s="7">
        <f t="shared" si="14"/>
        <v>0</v>
      </c>
      <c r="L224" s="7">
        <f t="shared" si="15"/>
        <v>1</v>
      </c>
      <c r="M224" s="3" t="s">
        <v>9</v>
      </c>
    </row>
    <row r="225" spans="1:13" x14ac:dyDescent="0.25">
      <c r="A225" s="3">
        <v>2022</v>
      </c>
      <c r="B225" s="3" t="s">
        <v>41</v>
      </c>
      <c r="C225" s="3">
        <v>1</v>
      </c>
      <c r="D225" s="4" t="s">
        <v>14</v>
      </c>
      <c r="E225" s="11" t="s">
        <v>55</v>
      </c>
      <c r="F225" s="11" t="s">
        <v>19</v>
      </c>
      <c r="G225" s="11" t="s">
        <v>17</v>
      </c>
      <c r="H225" s="11" t="s">
        <v>49</v>
      </c>
      <c r="I225" s="5" t="str">
        <f t="shared" si="12"/>
        <v>Antala, Segéň</v>
      </c>
      <c r="J225" s="6" t="str">
        <f t="shared" si="13"/>
        <v>Baláž, Beňo</v>
      </c>
      <c r="K225" s="7">
        <f t="shared" si="14"/>
        <v>0</v>
      </c>
      <c r="L225" s="7">
        <f t="shared" si="15"/>
        <v>1</v>
      </c>
      <c r="M225" s="3" t="s">
        <v>9</v>
      </c>
    </row>
    <row r="226" spans="1:13" x14ac:dyDescent="0.25">
      <c r="A226" s="3">
        <v>2022</v>
      </c>
      <c r="B226" s="3" t="s">
        <v>41</v>
      </c>
      <c r="C226" s="3">
        <v>2</v>
      </c>
      <c r="D226" s="4" t="s">
        <v>14</v>
      </c>
      <c r="E226" s="11" t="s">
        <v>73</v>
      </c>
      <c r="F226" s="11" t="s">
        <v>81</v>
      </c>
      <c r="G226" s="11" t="s">
        <v>75</v>
      </c>
      <c r="H226" s="11" t="s">
        <v>46</v>
      </c>
      <c r="I226" s="5" t="str">
        <f t="shared" si="12"/>
        <v>Krajčík, Višňovský</v>
      </c>
      <c r="J226" s="6" t="str">
        <f t="shared" si="13"/>
        <v>Achimský, Bielik</v>
      </c>
      <c r="K226" s="7">
        <f t="shared" si="14"/>
        <v>1</v>
      </c>
      <c r="L226" s="7">
        <f t="shared" si="15"/>
        <v>0</v>
      </c>
      <c r="M226" s="3" t="s">
        <v>8</v>
      </c>
    </row>
    <row r="227" spans="1:13" x14ac:dyDescent="0.25">
      <c r="A227" s="3">
        <v>2022</v>
      </c>
      <c r="B227" s="3" t="s">
        <v>41</v>
      </c>
      <c r="C227" s="3">
        <v>3</v>
      </c>
      <c r="D227" s="4" t="s">
        <v>14</v>
      </c>
      <c r="E227" s="11" t="s">
        <v>77</v>
      </c>
      <c r="F227" s="11" t="s">
        <v>25</v>
      </c>
      <c r="G227" s="11" t="s">
        <v>50</v>
      </c>
      <c r="H227" s="11" t="s">
        <v>82</v>
      </c>
      <c r="I227" s="5" t="str">
        <f t="shared" si="12"/>
        <v>Holčík, Schin</v>
      </c>
      <c r="J227" s="6" t="str">
        <f t="shared" si="13"/>
        <v>Polák, Valo</v>
      </c>
      <c r="K227" s="7">
        <f t="shared" si="14"/>
        <v>1</v>
      </c>
      <c r="L227" s="7">
        <f t="shared" si="15"/>
        <v>0</v>
      </c>
      <c r="M227" s="3" t="s">
        <v>8</v>
      </c>
    </row>
    <row r="228" spans="1:13" x14ac:dyDescent="0.25">
      <c r="A228" s="3">
        <v>2022</v>
      </c>
      <c r="B228" s="3" t="s">
        <v>41</v>
      </c>
      <c r="C228" s="3">
        <v>4</v>
      </c>
      <c r="D228" s="4" t="s">
        <v>14</v>
      </c>
      <c r="E228" s="11" t="s">
        <v>74</v>
      </c>
      <c r="F228" s="11" t="s">
        <v>84</v>
      </c>
      <c r="G228" s="11" t="s">
        <v>80</v>
      </c>
      <c r="H228" s="11" t="s">
        <v>26</v>
      </c>
      <c r="I228" s="5" t="str">
        <f t="shared" si="12"/>
        <v>Benčík, Chochol</v>
      </c>
      <c r="J228" s="6" t="str">
        <f t="shared" si="13"/>
        <v>Galbavý, Sill</v>
      </c>
      <c r="K228" s="7">
        <f t="shared" si="14"/>
        <v>0</v>
      </c>
      <c r="L228" s="7">
        <f t="shared" si="15"/>
        <v>1</v>
      </c>
      <c r="M228" s="3" t="s">
        <v>9</v>
      </c>
    </row>
    <row r="229" spans="1:13" x14ac:dyDescent="0.25">
      <c r="A229" s="3">
        <v>2022</v>
      </c>
      <c r="B229" s="3" t="s">
        <v>41</v>
      </c>
      <c r="C229" s="3">
        <v>5</v>
      </c>
      <c r="D229" s="4" t="s">
        <v>40</v>
      </c>
      <c r="E229" s="11" t="s">
        <v>25</v>
      </c>
      <c r="F229" s="11" t="s">
        <v>63</v>
      </c>
      <c r="G229" s="11" t="s">
        <v>27</v>
      </c>
      <c r="H229" s="11" t="s">
        <v>38</v>
      </c>
      <c r="I229" s="5" t="str">
        <f t="shared" si="12"/>
        <v>Schin, Torma</v>
      </c>
      <c r="J229" s="6" t="str">
        <f t="shared" si="13"/>
        <v>Ryba, Segéň</v>
      </c>
      <c r="K229" s="7">
        <f t="shared" si="14"/>
        <v>1</v>
      </c>
      <c r="L229" s="7">
        <f t="shared" si="15"/>
        <v>0</v>
      </c>
      <c r="M229" s="3" t="s">
        <v>8</v>
      </c>
    </row>
    <row r="230" spans="1:13" x14ac:dyDescent="0.25">
      <c r="A230" s="3">
        <v>2022</v>
      </c>
      <c r="B230" s="3" t="s">
        <v>41</v>
      </c>
      <c r="C230" s="3">
        <v>6</v>
      </c>
      <c r="D230" s="4" t="s">
        <v>40</v>
      </c>
      <c r="E230" s="11" t="s">
        <v>73</v>
      </c>
      <c r="F230" s="11" t="s">
        <v>53</v>
      </c>
      <c r="G230" s="11" t="s">
        <v>49</v>
      </c>
      <c r="H230" s="11" t="s">
        <v>83</v>
      </c>
      <c r="I230" s="5" t="str">
        <f t="shared" si="12"/>
        <v>Krajčík, Machcinik</v>
      </c>
      <c r="J230" s="6" t="str">
        <f t="shared" si="13"/>
        <v>Beňo, Kotlárik</v>
      </c>
      <c r="K230" s="7">
        <f t="shared" si="14"/>
        <v>0</v>
      </c>
      <c r="L230" s="7">
        <f t="shared" si="15"/>
        <v>1</v>
      </c>
      <c r="M230" s="3" t="s">
        <v>9</v>
      </c>
    </row>
    <row r="231" spans="1:13" x14ac:dyDescent="0.25">
      <c r="A231" s="3">
        <v>2022</v>
      </c>
      <c r="B231" s="3" t="s">
        <v>41</v>
      </c>
      <c r="C231" s="3">
        <v>7</v>
      </c>
      <c r="D231" s="4" t="s">
        <v>40</v>
      </c>
      <c r="E231" s="11" t="s">
        <v>19</v>
      </c>
      <c r="F231" s="11" t="s">
        <v>81</v>
      </c>
      <c r="G231" s="11" t="s">
        <v>50</v>
      </c>
      <c r="H231" s="11" t="s">
        <v>22</v>
      </c>
      <c r="I231" s="5" t="str">
        <f t="shared" si="12"/>
        <v>Segéň, Višňovský</v>
      </c>
      <c r="J231" s="6" t="str">
        <f t="shared" si="13"/>
        <v>Polák, Tarnóczy</v>
      </c>
      <c r="K231" s="7">
        <f t="shared" si="14"/>
        <v>0</v>
      </c>
      <c r="L231" s="7">
        <f t="shared" si="15"/>
        <v>1</v>
      </c>
      <c r="M231" s="3" t="s">
        <v>9</v>
      </c>
    </row>
    <row r="232" spans="1:13" x14ac:dyDescent="0.25">
      <c r="A232" s="3">
        <v>2022</v>
      </c>
      <c r="B232" s="3" t="s">
        <v>41</v>
      </c>
      <c r="C232" s="3">
        <v>8</v>
      </c>
      <c r="D232" s="4" t="s">
        <v>40</v>
      </c>
      <c r="E232" s="11" t="s">
        <v>55</v>
      </c>
      <c r="F232" s="11" t="s">
        <v>69</v>
      </c>
      <c r="G232" s="11" t="s">
        <v>46</v>
      </c>
      <c r="H232" s="11" t="s">
        <v>26</v>
      </c>
      <c r="I232" s="5" t="str">
        <f t="shared" si="12"/>
        <v>Antala, Šedivý</v>
      </c>
      <c r="J232" s="6" t="str">
        <f t="shared" si="13"/>
        <v>Bielik, Sill</v>
      </c>
      <c r="K232" s="7">
        <f t="shared" si="14"/>
        <v>1</v>
      </c>
      <c r="L232" s="7">
        <f t="shared" si="15"/>
        <v>0</v>
      </c>
      <c r="M232" s="3" t="s">
        <v>8</v>
      </c>
    </row>
    <row r="233" spans="1:13" x14ac:dyDescent="0.25">
      <c r="A233" s="3">
        <v>2022</v>
      </c>
      <c r="B233" s="3" t="s">
        <v>48</v>
      </c>
      <c r="C233" s="3">
        <v>1</v>
      </c>
      <c r="D233" s="4" t="s">
        <v>42</v>
      </c>
      <c r="E233" s="11" t="s">
        <v>77</v>
      </c>
      <c r="F233" s="11"/>
      <c r="G233" s="11" t="s">
        <v>49</v>
      </c>
      <c r="H233" s="11"/>
      <c r="I233" s="5" t="str">
        <f t="shared" si="12"/>
        <v>Holčík</v>
      </c>
      <c r="J233" s="6" t="str">
        <f t="shared" si="13"/>
        <v>Beňo</v>
      </c>
      <c r="K233" s="7">
        <f t="shared" si="14"/>
        <v>0</v>
      </c>
      <c r="L233" s="7">
        <f t="shared" si="15"/>
        <v>1</v>
      </c>
      <c r="M233" s="3" t="s">
        <v>9</v>
      </c>
    </row>
    <row r="234" spans="1:13" x14ac:dyDescent="0.25">
      <c r="A234" s="3">
        <v>2022</v>
      </c>
      <c r="B234" s="3" t="s">
        <v>48</v>
      </c>
      <c r="C234" s="3">
        <v>2</v>
      </c>
      <c r="D234" s="4" t="s">
        <v>42</v>
      </c>
      <c r="E234" s="11" t="s">
        <v>74</v>
      </c>
      <c r="F234" s="11"/>
      <c r="G234" s="11" t="s">
        <v>82</v>
      </c>
      <c r="H234" s="11"/>
      <c r="I234" s="5" t="str">
        <f t="shared" si="12"/>
        <v>Benčík</v>
      </c>
      <c r="J234" s="6" t="str">
        <f t="shared" si="13"/>
        <v>Valo</v>
      </c>
      <c r="K234" s="7">
        <f t="shared" si="14"/>
        <v>1</v>
      </c>
      <c r="L234" s="7">
        <f t="shared" si="15"/>
        <v>0</v>
      </c>
      <c r="M234" s="3" t="s">
        <v>8</v>
      </c>
    </row>
    <row r="235" spans="1:13" x14ac:dyDescent="0.25">
      <c r="A235" s="3">
        <v>2022</v>
      </c>
      <c r="B235" s="3" t="s">
        <v>48</v>
      </c>
      <c r="C235" s="3">
        <v>3</v>
      </c>
      <c r="D235" s="4" t="s">
        <v>42</v>
      </c>
      <c r="E235" s="11" t="s">
        <v>81</v>
      </c>
      <c r="F235" s="11"/>
      <c r="G235" s="11" t="s">
        <v>75</v>
      </c>
      <c r="H235" s="11"/>
      <c r="I235" s="5" t="str">
        <f t="shared" si="12"/>
        <v>Višňovský</v>
      </c>
      <c r="J235" s="6" t="str">
        <f t="shared" si="13"/>
        <v>Achimský</v>
      </c>
      <c r="K235" s="7">
        <f t="shared" si="14"/>
        <v>1</v>
      </c>
      <c r="L235" s="7">
        <f t="shared" si="15"/>
        <v>0</v>
      </c>
      <c r="M235" s="3" t="s">
        <v>8</v>
      </c>
    </row>
    <row r="236" spans="1:13" x14ac:dyDescent="0.25">
      <c r="A236" s="3">
        <v>2022</v>
      </c>
      <c r="B236" s="3" t="s">
        <v>48</v>
      </c>
      <c r="C236" s="3">
        <v>4</v>
      </c>
      <c r="D236" s="4" t="s">
        <v>42</v>
      </c>
      <c r="E236" s="11" t="s">
        <v>73</v>
      </c>
      <c r="F236" s="11"/>
      <c r="G236" s="11" t="s">
        <v>27</v>
      </c>
      <c r="H236" s="11"/>
      <c r="I236" s="5" t="str">
        <f t="shared" si="12"/>
        <v>Krajčík</v>
      </c>
      <c r="J236" s="6" t="str">
        <f t="shared" si="13"/>
        <v>Ryba</v>
      </c>
      <c r="K236" s="7">
        <f t="shared" si="14"/>
        <v>0.5</v>
      </c>
      <c r="L236" s="7">
        <f t="shared" si="15"/>
        <v>0.5</v>
      </c>
      <c r="M236" s="3" t="s">
        <v>23</v>
      </c>
    </row>
    <row r="237" spans="1:13" x14ac:dyDescent="0.25">
      <c r="A237" s="3">
        <v>2022</v>
      </c>
      <c r="B237" s="3" t="s">
        <v>48</v>
      </c>
      <c r="C237" s="3">
        <v>5</v>
      </c>
      <c r="D237" s="4" t="s">
        <v>42</v>
      </c>
      <c r="E237" s="11" t="s">
        <v>84</v>
      </c>
      <c r="F237" s="11"/>
      <c r="G237" s="11" t="s">
        <v>22</v>
      </c>
      <c r="H237" s="11"/>
      <c r="I237" s="5" t="str">
        <f t="shared" si="12"/>
        <v>Chochol</v>
      </c>
      <c r="J237" s="6" t="str">
        <f t="shared" si="13"/>
        <v>Tarnóczy</v>
      </c>
      <c r="K237" s="7">
        <f t="shared" si="14"/>
        <v>1</v>
      </c>
      <c r="L237" s="7">
        <f t="shared" si="15"/>
        <v>0</v>
      </c>
      <c r="M237" s="3" t="s">
        <v>8</v>
      </c>
    </row>
    <row r="238" spans="1:13" x14ac:dyDescent="0.25">
      <c r="A238" s="3">
        <v>2022</v>
      </c>
      <c r="B238" s="3" t="s">
        <v>48</v>
      </c>
      <c r="C238" s="3">
        <v>6</v>
      </c>
      <c r="D238" s="4" t="s">
        <v>42</v>
      </c>
      <c r="E238" s="11" t="s">
        <v>19</v>
      </c>
      <c r="F238" s="11"/>
      <c r="G238" s="11" t="s">
        <v>38</v>
      </c>
      <c r="H238" s="11"/>
      <c r="I238" s="5" t="str">
        <f t="shared" si="12"/>
        <v>Segéň</v>
      </c>
      <c r="J238" s="6" t="str">
        <f t="shared" si="13"/>
        <v>Segéň</v>
      </c>
      <c r="K238" s="7">
        <f t="shared" si="14"/>
        <v>0.5</v>
      </c>
      <c r="L238" s="7">
        <f t="shared" si="15"/>
        <v>0.5</v>
      </c>
      <c r="M238" s="3" t="s">
        <v>23</v>
      </c>
    </row>
    <row r="239" spans="1:13" x14ac:dyDescent="0.25">
      <c r="A239" s="3">
        <v>2022</v>
      </c>
      <c r="B239" s="3" t="s">
        <v>48</v>
      </c>
      <c r="C239" s="3">
        <v>7</v>
      </c>
      <c r="D239" s="4" t="s">
        <v>42</v>
      </c>
      <c r="E239" s="11" t="s">
        <v>55</v>
      </c>
      <c r="F239" s="11"/>
      <c r="G239" s="11" t="s">
        <v>17</v>
      </c>
      <c r="H239" s="11"/>
      <c r="I239" s="5" t="str">
        <f t="shared" si="12"/>
        <v>Antala</v>
      </c>
      <c r="J239" s="6" t="str">
        <f t="shared" si="13"/>
        <v>Baláž</v>
      </c>
      <c r="K239" s="7">
        <f t="shared" si="14"/>
        <v>1</v>
      </c>
      <c r="L239" s="7">
        <f t="shared" si="15"/>
        <v>0</v>
      </c>
      <c r="M239" s="3" t="s">
        <v>8</v>
      </c>
    </row>
    <row r="240" spans="1:13" x14ac:dyDescent="0.25">
      <c r="A240" s="3">
        <v>2022</v>
      </c>
      <c r="B240" s="3" t="s">
        <v>48</v>
      </c>
      <c r="C240" s="3">
        <v>8</v>
      </c>
      <c r="D240" s="4" t="s">
        <v>42</v>
      </c>
      <c r="E240" s="11" t="s">
        <v>63</v>
      </c>
      <c r="F240" s="11"/>
      <c r="G240" s="11" t="s">
        <v>50</v>
      </c>
      <c r="H240" s="11"/>
      <c r="I240" s="5" t="str">
        <f t="shared" si="12"/>
        <v>Torma</v>
      </c>
      <c r="J240" s="6" t="str">
        <f t="shared" si="13"/>
        <v>Polák</v>
      </c>
      <c r="K240" s="7">
        <f t="shared" si="14"/>
        <v>0.5</v>
      </c>
      <c r="L240" s="7">
        <f t="shared" si="15"/>
        <v>0.5</v>
      </c>
      <c r="M240" s="3" t="s">
        <v>23</v>
      </c>
    </row>
    <row r="241" spans="1:13" x14ac:dyDescent="0.25">
      <c r="A241" s="3">
        <v>2022</v>
      </c>
      <c r="B241" s="3" t="s">
        <v>48</v>
      </c>
      <c r="C241" s="3">
        <v>9</v>
      </c>
      <c r="D241" s="4" t="s">
        <v>42</v>
      </c>
      <c r="E241" s="11" t="s">
        <v>25</v>
      </c>
      <c r="F241" s="11"/>
      <c r="G241" s="11" t="s">
        <v>83</v>
      </c>
      <c r="H241" s="11"/>
      <c r="I241" s="5" t="str">
        <f t="shared" si="12"/>
        <v>Schin</v>
      </c>
      <c r="J241" s="6" t="str">
        <f t="shared" si="13"/>
        <v>Kotlárik</v>
      </c>
      <c r="K241" s="7">
        <f t="shared" si="14"/>
        <v>1</v>
      </c>
      <c r="L241" s="7">
        <f t="shared" si="15"/>
        <v>0</v>
      </c>
      <c r="M241" s="3" t="s">
        <v>8</v>
      </c>
    </row>
    <row r="242" spans="1:13" x14ac:dyDescent="0.25">
      <c r="A242" s="3">
        <v>2022</v>
      </c>
      <c r="B242" s="3" t="s">
        <v>48</v>
      </c>
      <c r="C242" s="3">
        <v>10</v>
      </c>
      <c r="D242" s="4" t="s">
        <v>42</v>
      </c>
      <c r="E242" s="11" t="s">
        <v>37</v>
      </c>
      <c r="F242" s="11"/>
      <c r="G242" s="11" t="s">
        <v>46</v>
      </c>
      <c r="H242" s="11"/>
      <c r="I242" s="5" t="str">
        <f t="shared" si="12"/>
        <v>Just</v>
      </c>
      <c r="J242" s="6" t="str">
        <f t="shared" si="13"/>
        <v>Bielik</v>
      </c>
      <c r="K242" s="7">
        <f t="shared" si="14"/>
        <v>0</v>
      </c>
      <c r="L242" s="7">
        <f t="shared" si="15"/>
        <v>1</v>
      </c>
      <c r="M242" s="3" t="s">
        <v>9</v>
      </c>
    </row>
    <row r="243" spans="1:13" x14ac:dyDescent="0.25">
      <c r="A243" s="3">
        <v>2022</v>
      </c>
      <c r="B243" s="3" t="s">
        <v>48</v>
      </c>
      <c r="C243" s="3">
        <v>11</v>
      </c>
      <c r="D243" s="4" t="s">
        <v>42</v>
      </c>
      <c r="E243" s="11" t="s">
        <v>53</v>
      </c>
      <c r="F243" s="11"/>
      <c r="G243" s="11" t="s">
        <v>80</v>
      </c>
      <c r="H243" s="11"/>
      <c r="I243" s="5" t="str">
        <f t="shared" si="12"/>
        <v>Machcinik</v>
      </c>
      <c r="J243" s="6" t="str">
        <f t="shared" si="13"/>
        <v>Galbavý</v>
      </c>
      <c r="K243" s="7">
        <f t="shared" si="14"/>
        <v>1</v>
      </c>
      <c r="L243" s="7">
        <f t="shared" si="15"/>
        <v>0</v>
      </c>
      <c r="M243" s="3" t="s">
        <v>8</v>
      </c>
    </row>
    <row r="244" spans="1:13" x14ac:dyDescent="0.25">
      <c r="A244" s="3">
        <v>2022</v>
      </c>
      <c r="B244" s="3" t="s">
        <v>48</v>
      </c>
      <c r="C244" s="3">
        <v>12</v>
      </c>
      <c r="D244" s="4" t="s">
        <v>42</v>
      </c>
      <c r="E244" s="11" t="s">
        <v>69</v>
      </c>
      <c r="F244" s="11"/>
      <c r="G244" s="11" t="s">
        <v>26</v>
      </c>
      <c r="H244" s="11"/>
      <c r="I244" s="5" t="str">
        <f t="shared" si="12"/>
        <v>Šedivý</v>
      </c>
      <c r="J244" s="6" t="str">
        <f t="shared" si="13"/>
        <v>Sill</v>
      </c>
      <c r="K244" s="7">
        <f t="shared" si="14"/>
        <v>0.5</v>
      </c>
      <c r="L244" s="7">
        <f t="shared" si="15"/>
        <v>0.5</v>
      </c>
      <c r="M244" s="3" t="s">
        <v>23</v>
      </c>
    </row>
    <row r="245" spans="1:13" x14ac:dyDescent="0.25">
      <c r="A245" s="3">
        <v>2023</v>
      </c>
      <c r="B245" s="3" t="s">
        <v>13</v>
      </c>
      <c r="C245" s="3">
        <v>1</v>
      </c>
      <c r="D245" s="4" t="s">
        <v>14</v>
      </c>
      <c r="E245" s="11" t="s">
        <v>73</v>
      </c>
      <c r="F245" s="11" t="s">
        <v>81</v>
      </c>
      <c r="G245" s="11" t="s">
        <v>17</v>
      </c>
      <c r="H245" s="11" t="s">
        <v>46</v>
      </c>
      <c r="I245" s="5" t="str">
        <f>IF(E245&gt;" ",IF(SEARCH(" ",E245)&gt;0,LEFT(E245,SEARCH(" ",E245)-1)) &amp; IF(F245&gt;" ",", " &amp; IF(SEARCH(" ",F245)&gt;0, LEFT(F245,SEARCH(" ",F245)-1)),""),"")</f>
        <v>Krajčík, Višňovský</v>
      </c>
      <c r="J245" s="6" t="str">
        <f t="shared" si="13"/>
        <v>Baláž, Bielik</v>
      </c>
      <c r="K245" s="7">
        <f t="shared" si="14"/>
        <v>1</v>
      </c>
      <c r="L245" s="7">
        <f t="shared" si="15"/>
        <v>0</v>
      </c>
      <c r="M245" s="3" t="s">
        <v>8</v>
      </c>
    </row>
    <row r="246" spans="1:13" x14ac:dyDescent="0.25">
      <c r="A246" s="3">
        <v>2023</v>
      </c>
      <c r="B246" s="3" t="s">
        <v>13</v>
      </c>
      <c r="C246" s="3">
        <v>2</v>
      </c>
      <c r="D246" s="4" t="s">
        <v>14</v>
      </c>
      <c r="E246" s="11" t="s">
        <v>74</v>
      </c>
      <c r="F246" s="11" t="s">
        <v>77</v>
      </c>
      <c r="G246" s="11" t="s">
        <v>85</v>
      </c>
      <c r="H246" s="11" t="s">
        <v>38</v>
      </c>
      <c r="I246" s="5" t="str">
        <f t="shared" ref="I246:I272" si="16">IF(E246&gt;" ",IF(SEARCH(" ",E246)&gt;0,LEFT(E246,SEARCH(" ",E246)-1)) &amp; IF(F246&gt;" ",", " &amp; IF(SEARCH(" ",F246)&gt;0, LEFT(F246,SEARCH(" ",F246)-1)),""),"")</f>
        <v>Benčík, Holčík</v>
      </c>
      <c r="J246" s="6" t="str">
        <f t="shared" si="13"/>
        <v>Sciranka, Segéň</v>
      </c>
      <c r="K246" s="7">
        <f t="shared" si="14"/>
        <v>0</v>
      </c>
      <c r="L246" s="7">
        <f t="shared" si="15"/>
        <v>1</v>
      </c>
      <c r="M246" s="3" t="s">
        <v>9</v>
      </c>
    </row>
    <row r="247" spans="1:13" x14ac:dyDescent="0.25">
      <c r="A247" s="3">
        <v>2023</v>
      </c>
      <c r="B247" s="3" t="s">
        <v>13</v>
      </c>
      <c r="C247" s="3">
        <v>3</v>
      </c>
      <c r="D247" s="4" t="s">
        <v>14</v>
      </c>
      <c r="E247" s="11" t="s">
        <v>25</v>
      </c>
      <c r="F247" s="11" t="s">
        <v>63</v>
      </c>
      <c r="G247" s="11" t="s">
        <v>49</v>
      </c>
      <c r="H247" s="11" t="s">
        <v>50</v>
      </c>
      <c r="I247" s="5" t="str">
        <f t="shared" si="16"/>
        <v>Schin, Torma</v>
      </c>
      <c r="J247" s="6" t="str">
        <f t="shared" si="13"/>
        <v>Beňo, Polák</v>
      </c>
      <c r="K247" s="7">
        <f t="shared" si="14"/>
        <v>0.5</v>
      </c>
      <c r="L247" s="7">
        <f t="shared" si="15"/>
        <v>0.5</v>
      </c>
      <c r="M247" s="3" t="s">
        <v>23</v>
      </c>
    </row>
    <row r="248" spans="1:13" x14ac:dyDescent="0.25">
      <c r="A248" s="3">
        <v>2023</v>
      </c>
      <c r="B248" s="3" t="s">
        <v>13</v>
      </c>
      <c r="C248" s="3">
        <v>4</v>
      </c>
      <c r="D248" s="4" t="s">
        <v>14</v>
      </c>
      <c r="E248" s="11" t="s">
        <v>55</v>
      </c>
      <c r="F248" s="11" t="s">
        <v>19</v>
      </c>
      <c r="G248" s="11" t="s">
        <v>80</v>
      </c>
      <c r="H248" s="11" t="s">
        <v>26</v>
      </c>
      <c r="I248" s="5" t="str">
        <f t="shared" si="16"/>
        <v>Antala, Segéň</v>
      </c>
      <c r="J248" s="6" t="str">
        <f t="shared" si="13"/>
        <v>Galbavý, Sill</v>
      </c>
      <c r="K248" s="7">
        <f t="shared" si="14"/>
        <v>0</v>
      </c>
      <c r="L248" s="7">
        <f t="shared" si="15"/>
        <v>1</v>
      </c>
      <c r="M248" s="3" t="s">
        <v>9</v>
      </c>
    </row>
    <row r="249" spans="1:13" x14ac:dyDescent="0.25">
      <c r="A249" s="3">
        <v>2023</v>
      </c>
      <c r="B249" s="3" t="s">
        <v>13</v>
      </c>
      <c r="C249" s="3">
        <v>5</v>
      </c>
      <c r="D249" s="4" t="s">
        <v>40</v>
      </c>
      <c r="E249" s="11" t="s">
        <v>53</v>
      </c>
      <c r="F249" s="11" t="s">
        <v>69</v>
      </c>
      <c r="G249" s="11" t="s">
        <v>75</v>
      </c>
      <c r="H249" s="11" t="s">
        <v>22</v>
      </c>
      <c r="I249" s="5" t="str">
        <f t="shared" si="16"/>
        <v>Machcinik, Šedivý</v>
      </c>
      <c r="J249" s="6" t="str">
        <f t="shared" si="13"/>
        <v>Achimský, Tarnóczy</v>
      </c>
      <c r="K249" s="7">
        <f t="shared" si="14"/>
        <v>1</v>
      </c>
      <c r="L249" s="7">
        <f t="shared" si="15"/>
        <v>0</v>
      </c>
      <c r="M249" s="3" t="s">
        <v>8</v>
      </c>
    </row>
    <row r="250" spans="1:13" x14ac:dyDescent="0.25">
      <c r="A250" s="3">
        <v>2023</v>
      </c>
      <c r="B250" s="3" t="s">
        <v>13</v>
      </c>
      <c r="C250" s="3">
        <v>6</v>
      </c>
      <c r="D250" s="4" t="s">
        <v>40</v>
      </c>
      <c r="E250" s="11" t="s">
        <v>37</v>
      </c>
      <c r="F250" s="11" t="s">
        <v>24</v>
      </c>
      <c r="G250" s="11" t="s">
        <v>46</v>
      </c>
      <c r="H250" s="11" t="s">
        <v>27</v>
      </c>
      <c r="I250" s="5" t="str">
        <f t="shared" si="16"/>
        <v>Just, Ličko</v>
      </c>
      <c r="J250" s="6" t="str">
        <f t="shared" si="13"/>
        <v>Bielik, Ryba</v>
      </c>
      <c r="K250" s="7">
        <f t="shared" si="14"/>
        <v>0</v>
      </c>
      <c r="L250" s="7">
        <f t="shared" si="15"/>
        <v>1</v>
      </c>
      <c r="M250" s="3" t="s">
        <v>9</v>
      </c>
    </row>
    <row r="251" spans="1:13" x14ac:dyDescent="0.25">
      <c r="A251" s="3">
        <v>2023</v>
      </c>
      <c r="B251" s="3" t="s">
        <v>13</v>
      </c>
      <c r="C251" s="3">
        <v>7</v>
      </c>
      <c r="D251" s="4" t="s">
        <v>40</v>
      </c>
      <c r="E251" s="11" t="s">
        <v>73</v>
      </c>
      <c r="F251" s="11" t="s">
        <v>81</v>
      </c>
      <c r="G251" s="11" t="s">
        <v>79</v>
      </c>
      <c r="H251" s="11" t="s">
        <v>85</v>
      </c>
      <c r="I251" s="5" t="str">
        <f t="shared" si="16"/>
        <v>Krajčík, Višňovský</v>
      </c>
      <c r="J251" s="6" t="str">
        <f t="shared" si="13"/>
        <v>Matlák, Sciranka</v>
      </c>
      <c r="K251" s="7">
        <f t="shared" si="14"/>
        <v>1</v>
      </c>
      <c r="L251" s="7">
        <f t="shared" si="15"/>
        <v>0</v>
      </c>
      <c r="M251" s="3" t="s">
        <v>8</v>
      </c>
    </row>
    <row r="252" spans="1:13" x14ac:dyDescent="0.25">
      <c r="A252" s="3">
        <v>2023</v>
      </c>
      <c r="B252" s="3" t="s">
        <v>13</v>
      </c>
      <c r="C252" s="3">
        <v>8</v>
      </c>
      <c r="D252" s="4" t="s">
        <v>40</v>
      </c>
      <c r="E252" s="11" t="s">
        <v>55</v>
      </c>
      <c r="F252" s="11" t="s">
        <v>63</v>
      </c>
      <c r="G252" s="11" t="s">
        <v>49</v>
      </c>
      <c r="H252" s="11" t="s">
        <v>38</v>
      </c>
      <c r="I252" s="5" t="str">
        <f t="shared" si="16"/>
        <v>Antala, Torma</v>
      </c>
      <c r="J252" s="6" t="str">
        <f t="shared" si="13"/>
        <v>Beňo, Segéň</v>
      </c>
      <c r="K252" s="7">
        <f t="shared" si="14"/>
        <v>0</v>
      </c>
      <c r="L252" s="7">
        <f t="shared" si="15"/>
        <v>1</v>
      </c>
      <c r="M252" s="3" t="s">
        <v>9</v>
      </c>
    </row>
    <row r="253" spans="1:13" x14ac:dyDescent="0.25">
      <c r="A253" s="3">
        <v>2023</v>
      </c>
      <c r="B253" s="3" t="s">
        <v>41</v>
      </c>
      <c r="C253" s="3">
        <v>1</v>
      </c>
      <c r="D253" s="4" t="s">
        <v>14</v>
      </c>
      <c r="E253" s="11" t="s">
        <v>77</v>
      </c>
      <c r="F253" s="11" t="s">
        <v>69</v>
      </c>
      <c r="G253" s="11" t="s">
        <v>46</v>
      </c>
      <c r="H253" s="11" t="s">
        <v>26</v>
      </c>
      <c r="I253" s="5" t="str">
        <f t="shared" si="16"/>
        <v>Holčík, Šedivý</v>
      </c>
      <c r="J253" s="6" t="str">
        <f t="shared" si="13"/>
        <v>Bielik, Sill</v>
      </c>
      <c r="K253" s="7">
        <f t="shared" si="14"/>
        <v>0</v>
      </c>
      <c r="L253" s="7">
        <f t="shared" si="15"/>
        <v>1</v>
      </c>
      <c r="M253" s="3" t="s">
        <v>9</v>
      </c>
    </row>
    <row r="254" spans="1:13" x14ac:dyDescent="0.25">
      <c r="A254" s="3">
        <v>2023</v>
      </c>
      <c r="B254" s="3" t="s">
        <v>41</v>
      </c>
      <c r="C254" s="3">
        <v>2</v>
      </c>
      <c r="D254" s="4" t="s">
        <v>14</v>
      </c>
      <c r="E254" s="11" t="s">
        <v>53</v>
      </c>
      <c r="F254" s="11" t="s">
        <v>19</v>
      </c>
      <c r="G254" s="11" t="s">
        <v>75</v>
      </c>
      <c r="H254" s="11" t="s">
        <v>80</v>
      </c>
      <c r="I254" s="5" t="str">
        <f t="shared" si="16"/>
        <v>Machcinik, Segéň</v>
      </c>
      <c r="J254" s="6" t="str">
        <f t="shared" si="13"/>
        <v>Achimský, Galbavý</v>
      </c>
      <c r="K254" s="7">
        <f t="shared" si="14"/>
        <v>0.5</v>
      </c>
      <c r="L254" s="7">
        <f t="shared" si="15"/>
        <v>0.5</v>
      </c>
      <c r="M254" s="3" t="s">
        <v>23</v>
      </c>
    </row>
    <row r="255" spans="1:13" x14ac:dyDescent="0.25">
      <c r="A255" s="3">
        <v>2023</v>
      </c>
      <c r="B255" s="3" t="s">
        <v>41</v>
      </c>
      <c r="C255" s="3">
        <v>3</v>
      </c>
      <c r="D255" s="4" t="s">
        <v>14</v>
      </c>
      <c r="E255" s="11" t="s">
        <v>55</v>
      </c>
      <c r="F255" s="11" t="s">
        <v>25</v>
      </c>
      <c r="G255" s="11" t="s">
        <v>49</v>
      </c>
      <c r="H255" s="11" t="s">
        <v>50</v>
      </c>
      <c r="I255" s="5" t="str">
        <f t="shared" si="16"/>
        <v>Antala, Schin</v>
      </c>
      <c r="J255" s="6" t="str">
        <f t="shared" si="13"/>
        <v>Beňo, Polák</v>
      </c>
      <c r="K255" s="7">
        <f t="shared" si="14"/>
        <v>1</v>
      </c>
      <c r="L255" s="7">
        <f t="shared" si="15"/>
        <v>0</v>
      </c>
      <c r="M255" s="3" t="s">
        <v>8</v>
      </c>
    </row>
    <row r="256" spans="1:13" x14ac:dyDescent="0.25">
      <c r="A256" s="3">
        <v>2023</v>
      </c>
      <c r="B256" s="3" t="s">
        <v>41</v>
      </c>
      <c r="C256" s="3">
        <v>4</v>
      </c>
      <c r="D256" s="4" t="s">
        <v>14</v>
      </c>
      <c r="E256" s="11" t="s">
        <v>73</v>
      </c>
      <c r="F256" s="11" t="s">
        <v>81</v>
      </c>
      <c r="G256" s="11" t="s">
        <v>85</v>
      </c>
      <c r="H256" s="11" t="s">
        <v>38</v>
      </c>
      <c r="I256" s="5" t="str">
        <f t="shared" si="16"/>
        <v>Krajčík, Višňovský</v>
      </c>
      <c r="J256" s="6" t="str">
        <f t="shared" si="13"/>
        <v>Sciranka, Segéň</v>
      </c>
      <c r="K256" s="7">
        <f t="shared" si="14"/>
        <v>1</v>
      </c>
      <c r="L256" s="7">
        <f t="shared" si="15"/>
        <v>0</v>
      </c>
      <c r="M256" s="3" t="s">
        <v>8</v>
      </c>
    </row>
    <row r="257" spans="1:13" x14ac:dyDescent="0.25">
      <c r="A257" s="3">
        <v>2023</v>
      </c>
      <c r="B257" s="3" t="s">
        <v>41</v>
      </c>
      <c r="C257" s="3">
        <v>5</v>
      </c>
      <c r="D257" s="4" t="s">
        <v>40</v>
      </c>
      <c r="E257" s="11" t="s">
        <v>77</v>
      </c>
      <c r="F257" s="11" t="s">
        <v>63</v>
      </c>
      <c r="G257" s="11" t="s">
        <v>79</v>
      </c>
      <c r="H257" s="11" t="s">
        <v>26</v>
      </c>
      <c r="I257" s="5" t="str">
        <f t="shared" si="16"/>
        <v>Holčík, Torma</v>
      </c>
      <c r="J257" s="6" t="str">
        <f t="shared" si="13"/>
        <v>Matlák, Sill</v>
      </c>
      <c r="K257" s="7">
        <f t="shared" si="14"/>
        <v>0</v>
      </c>
      <c r="L257" s="7">
        <f t="shared" si="15"/>
        <v>1</v>
      </c>
      <c r="M257" s="3" t="s">
        <v>9</v>
      </c>
    </row>
    <row r="258" spans="1:13" x14ac:dyDescent="0.25">
      <c r="A258" s="3">
        <v>2023</v>
      </c>
      <c r="B258" s="3" t="s">
        <v>41</v>
      </c>
      <c r="C258" s="3">
        <v>6</v>
      </c>
      <c r="D258" s="4" t="s">
        <v>40</v>
      </c>
      <c r="E258" s="11" t="s">
        <v>74</v>
      </c>
      <c r="F258" s="11" t="s">
        <v>73</v>
      </c>
      <c r="G258" s="11" t="s">
        <v>17</v>
      </c>
      <c r="H258" s="11" t="s">
        <v>46</v>
      </c>
      <c r="I258" s="5" t="str">
        <f t="shared" si="16"/>
        <v>Benčík, Krajčík</v>
      </c>
      <c r="J258" s="6" t="str">
        <f t="shared" si="13"/>
        <v>Baláž, Bielik</v>
      </c>
      <c r="K258" s="7">
        <f t="shared" si="14"/>
        <v>1</v>
      </c>
      <c r="L258" s="7">
        <f t="shared" si="15"/>
        <v>0</v>
      </c>
      <c r="M258" s="3" t="s">
        <v>8</v>
      </c>
    </row>
    <row r="259" spans="1:13" x14ac:dyDescent="0.25">
      <c r="A259" s="3">
        <v>2023</v>
      </c>
      <c r="B259" s="3" t="s">
        <v>41</v>
      </c>
      <c r="C259" s="3">
        <v>7</v>
      </c>
      <c r="D259" s="4" t="s">
        <v>40</v>
      </c>
      <c r="E259" s="11" t="s">
        <v>24</v>
      </c>
      <c r="F259" s="11" t="s">
        <v>19</v>
      </c>
      <c r="G259" s="11" t="s">
        <v>80</v>
      </c>
      <c r="H259" s="11" t="s">
        <v>27</v>
      </c>
      <c r="I259" s="5" t="str">
        <f t="shared" si="16"/>
        <v>Ličko, Segéň</v>
      </c>
      <c r="J259" s="6" t="str">
        <f t="shared" ref="J259:J322" si="17">IF(G259&gt;" ",IF(SEARCH(" ",G259)&gt;0,LEFT(G259,SEARCH(" ",G259)-1)) &amp; IF(H259&gt;" ",", " &amp; IF(SEARCH(" ",H259)&gt;0, LEFT(H259,SEARCH(" ",H259)-1)),""),"")</f>
        <v>Galbavý, Ryba</v>
      </c>
      <c r="K259" s="7">
        <f t="shared" ref="K259:K322" si="18">IF(M259="Lefties",1,IF(M259="Righties",0,IF(M259="A/S",1/2,"")))</f>
        <v>0</v>
      </c>
      <c r="L259" s="7">
        <f t="shared" ref="L259:L322" si="19">IF(M259="Righties",1,IF(M259="Lefties",0,IF(M259="A/S",1/2,"")))</f>
        <v>1</v>
      </c>
      <c r="M259" s="3" t="s">
        <v>9</v>
      </c>
    </row>
    <row r="260" spans="1:13" x14ac:dyDescent="0.25">
      <c r="A260" s="3">
        <v>2023</v>
      </c>
      <c r="B260" s="3" t="s">
        <v>41</v>
      </c>
      <c r="C260" s="3">
        <v>8</v>
      </c>
      <c r="D260" s="4" t="s">
        <v>40</v>
      </c>
      <c r="E260" s="11" t="s">
        <v>37</v>
      </c>
      <c r="F260" s="11" t="s">
        <v>25</v>
      </c>
      <c r="G260" s="11" t="s">
        <v>38</v>
      </c>
      <c r="H260" s="11" t="s">
        <v>22</v>
      </c>
      <c r="I260" s="5" t="str">
        <f t="shared" si="16"/>
        <v>Just, Schin</v>
      </c>
      <c r="J260" s="6" t="str">
        <f t="shared" si="17"/>
        <v>Segéň, Tarnóczy</v>
      </c>
      <c r="K260" s="7">
        <f t="shared" si="18"/>
        <v>1</v>
      </c>
      <c r="L260" s="7">
        <f t="shared" si="19"/>
        <v>0</v>
      </c>
      <c r="M260" s="3" t="s">
        <v>8</v>
      </c>
    </row>
    <row r="261" spans="1:13" x14ac:dyDescent="0.25">
      <c r="A261" s="3">
        <v>2023</v>
      </c>
      <c r="B261" s="3" t="s">
        <v>48</v>
      </c>
      <c r="C261" s="3">
        <v>1</v>
      </c>
      <c r="D261" s="4" t="s">
        <v>42</v>
      </c>
      <c r="E261" s="11" t="s">
        <v>55</v>
      </c>
      <c r="F261" s="11"/>
      <c r="G261" s="11" t="s">
        <v>38</v>
      </c>
      <c r="H261" s="11"/>
      <c r="I261" s="5" t="str">
        <f t="shared" si="16"/>
        <v>Antala</v>
      </c>
      <c r="J261" s="6" t="str">
        <f t="shared" si="17"/>
        <v>Segéň</v>
      </c>
      <c r="K261" s="7">
        <f t="shared" si="18"/>
        <v>0</v>
      </c>
      <c r="L261" s="7">
        <f t="shared" si="19"/>
        <v>1</v>
      </c>
      <c r="M261" s="3" t="s">
        <v>9</v>
      </c>
    </row>
    <row r="262" spans="1:13" x14ac:dyDescent="0.25">
      <c r="A262" s="3">
        <v>2023</v>
      </c>
      <c r="B262" s="3" t="s">
        <v>48</v>
      </c>
      <c r="C262" s="3">
        <v>2</v>
      </c>
      <c r="D262" s="4" t="s">
        <v>42</v>
      </c>
      <c r="E262" s="11" t="s">
        <v>25</v>
      </c>
      <c r="F262" s="11"/>
      <c r="G262" s="11" t="s">
        <v>27</v>
      </c>
      <c r="H262" s="11"/>
      <c r="I262" s="5" t="str">
        <f t="shared" si="16"/>
        <v>Schin</v>
      </c>
      <c r="J262" s="6" t="str">
        <f t="shared" si="17"/>
        <v>Ryba</v>
      </c>
      <c r="K262" s="7">
        <f t="shared" si="18"/>
        <v>1</v>
      </c>
      <c r="L262" s="7">
        <f t="shared" si="19"/>
        <v>0</v>
      </c>
      <c r="M262" s="3" t="s">
        <v>8</v>
      </c>
    </row>
    <row r="263" spans="1:13" x14ac:dyDescent="0.25">
      <c r="A263" s="3">
        <v>2023</v>
      </c>
      <c r="B263" s="3" t="s">
        <v>48</v>
      </c>
      <c r="C263" s="3">
        <v>3</v>
      </c>
      <c r="D263" s="4" t="s">
        <v>42</v>
      </c>
      <c r="E263" s="11" t="s">
        <v>69</v>
      </c>
      <c r="F263" s="11"/>
      <c r="G263" s="11" t="s">
        <v>49</v>
      </c>
      <c r="H263" s="11"/>
      <c r="I263" s="5" t="str">
        <f t="shared" si="16"/>
        <v>Šedivý</v>
      </c>
      <c r="J263" s="6" t="str">
        <f t="shared" si="17"/>
        <v>Beňo</v>
      </c>
      <c r="K263" s="7">
        <f t="shared" si="18"/>
        <v>0</v>
      </c>
      <c r="L263" s="7">
        <f t="shared" si="19"/>
        <v>1</v>
      </c>
      <c r="M263" s="3" t="s">
        <v>9</v>
      </c>
    </row>
    <row r="264" spans="1:13" x14ac:dyDescent="0.25">
      <c r="A264" s="3">
        <v>2023</v>
      </c>
      <c r="B264" s="3" t="s">
        <v>48</v>
      </c>
      <c r="C264" s="3">
        <v>4</v>
      </c>
      <c r="D264" s="4" t="s">
        <v>42</v>
      </c>
      <c r="E264" s="11" t="s">
        <v>53</v>
      </c>
      <c r="F264" s="11"/>
      <c r="G264" s="11" t="s">
        <v>85</v>
      </c>
      <c r="H264" s="11"/>
      <c r="I264" s="5" t="str">
        <f t="shared" si="16"/>
        <v>Machcinik</v>
      </c>
      <c r="J264" s="6" t="str">
        <f t="shared" si="17"/>
        <v>Sciranka</v>
      </c>
      <c r="K264" s="7">
        <f t="shared" si="18"/>
        <v>0</v>
      </c>
      <c r="L264" s="7">
        <f t="shared" si="19"/>
        <v>1</v>
      </c>
      <c r="M264" s="3" t="s">
        <v>9</v>
      </c>
    </row>
    <row r="265" spans="1:13" x14ac:dyDescent="0.25">
      <c r="A265" s="3">
        <v>2023</v>
      </c>
      <c r="B265" s="3" t="s">
        <v>48</v>
      </c>
      <c r="C265" s="3">
        <v>5</v>
      </c>
      <c r="D265" s="4" t="s">
        <v>42</v>
      </c>
      <c r="E265" s="11" t="s">
        <v>77</v>
      </c>
      <c r="F265" s="11"/>
      <c r="G265" s="11" t="s">
        <v>79</v>
      </c>
      <c r="H265" s="11"/>
      <c r="I265" s="5" t="str">
        <f t="shared" si="16"/>
        <v>Holčík</v>
      </c>
      <c r="J265" s="6" t="str">
        <f t="shared" si="17"/>
        <v>Matlák</v>
      </c>
      <c r="K265" s="7">
        <f t="shared" si="18"/>
        <v>0</v>
      </c>
      <c r="L265" s="7">
        <f t="shared" si="19"/>
        <v>1</v>
      </c>
      <c r="M265" s="3" t="s">
        <v>9</v>
      </c>
    </row>
    <row r="266" spans="1:13" x14ac:dyDescent="0.25">
      <c r="A266" s="3">
        <v>2023</v>
      </c>
      <c r="B266" s="3" t="s">
        <v>48</v>
      </c>
      <c r="C266" s="3">
        <v>6</v>
      </c>
      <c r="D266" s="4" t="s">
        <v>42</v>
      </c>
      <c r="E266" s="11" t="s">
        <v>74</v>
      </c>
      <c r="F266" s="11"/>
      <c r="G266" s="11" t="s">
        <v>26</v>
      </c>
      <c r="H266" s="11"/>
      <c r="I266" s="5" t="str">
        <f t="shared" si="16"/>
        <v>Benčík</v>
      </c>
      <c r="J266" s="6" t="str">
        <f t="shared" si="17"/>
        <v>Sill</v>
      </c>
      <c r="K266" s="7">
        <f t="shared" si="18"/>
        <v>1</v>
      </c>
      <c r="L266" s="7">
        <f t="shared" si="19"/>
        <v>0</v>
      </c>
      <c r="M266" s="3" t="s">
        <v>8</v>
      </c>
    </row>
    <row r="267" spans="1:13" x14ac:dyDescent="0.25">
      <c r="A267" s="3">
        <v>2023</v>
      </c>
      <c r="B267" s="3" t="s">
        <v>48</v>
      </c>
      <c r="C267" s="3">
        <v>7</v>
      </c>
      <c r="D267" s="4" t="s">
        <v>42</v>
      </c>
      <c r="E267" s="11" t="s">
        <v>19</v>
      </c>
      <c r="F267" s="11"/>
      <c r="G267" s="11" t="s">
        <v>22</v>
      </c>
      <c r="H267" s="11"/>
      <c r="I267" s="5" t="str">
        <f t="shared" si="16"/>
        <v>Segéň</v>
      </c>
      <c r="J267" s="6" t="str">
        <f t="shared" si="17"/>
        <v>Tarnóczy</v>
      </c>
      <c r="K267" s="7">
        <f t="shared" si="18"/>
        <v>0</v>
      </c>
      <c r="L267" s="7">
        <f t="shared" si="19"/>
        <v>1</v>
      </c>
      <c r="M267" s="3" t="s">
        <v>9</v>
      </c>
    </row>
    <row r="268" spans="1:13" x14ac:dyDescent="0.25">
      <c r="A268" s="3">
        <v>2023</v>
      </c>
      <c r="B268" s="3" t="s">
        <v>48</v>
      </c>
      <c r="C268" s="3">
        <v>8</v>
      </c>
      <c r="D268" s="4" t="s">
        <v>42</v>
      </c>
      <c r="E268" s="11" t="s">
        <v>63</v>
      </c>
      <c r="F268" s="11"/>
      <c r="G268" s="11" t="s">
        <v>46</v>
      </c>
      <c r="H268" s="11"/>
      <c r="I268" s="5" t="str">
        <f t="shared" si="16"/>
        <v>Torma</v>
      </c>
      <c r="J268" s="6" t="str">
        <f t="shared" si="17"/>
        <v>Bielik</v>
      </c>
      <c r="K268" s="7">
        <f t="shared" si="18"/>
        <v>0.5</v>
      </c>
      <c r="L268" s="7">
        <f t="shared" si="19"/>
        <v>0.5</v>
      </c>
      <c r="M268" s="3" t="s">
        <v>23</v>
      </c>
    </row>
    <row r="269" spans="1:13" x14ac:dyDescent="0.25">
      <c r="A269" s="3">
        <v>2023</v>
      </c>
      <c r="B269" s="3" t="s">
        <v>48</v>
      </c>
      <c r="C269" s="3">
        <v>9</v>
      </c>
      <c r="D269" s="4" t="s">
        <v>42</v>
      </c>
      <c r="E269" s="11" t="s">
        <v>37</v>
      </c>
      <c r="F269" s="11"/>
      <c r="G269" s="11" t="s">
        <v>50</v>
      </c>
      <c r="H269" s="11"/>
      <c r="I269" s="5" t="str">
        <f t="shared" si="16"/>
        <v>Just</v>
      </c>
      <c r="J269" s="6" t="str">
        <f t="shared" si="17"/>
        <v>Polák</v>
      </c>
      <c r="K269" s="7">
        <f t="shared" si="18"/>
        <v>0</v>
      </c>
      <c r="L269" s="7">
        <f t="shared" si="19"/>
        <v>1</v>
      </c>
      <c r="M269" s="3" t="s">
        <v>9</v>
      </c>
    </row>
    <row r="270" spans="1:13" x14ac:dyDescent="0.25">
      <c r="A270" s="3">
        <v>2023</v>
      </c>
      <c r="B270" s="3" t="s">
        <v>48</v>
      </c>
      <c r="C270" s="3">
        <v>10</v>
      </c>
      <c r="D270" s="4" t="s">
        <v>42</v>
      </c>
      <c r="E270" s="11" t="s">
        <v>24</v>
      </c>
      <c r="F270" s="11"/>
      <c r="G270" s="11" t="s">
        <v>80</v>
      </c>
      <c r="H270" s="11"/>
      <c r="I270" s="5" t="str">
        <f t="shared" si="16"/>
        <v>Ličko</v>
      </c>
      <c r="J270" s="6" t="str">
        <f t="shared" si="17"/>
        <v>Galbavý</v>
      </c>
      <c r="K270" s="7">
        <f t="shared" si="18"/>
        <v>0</v>
      </c>
      <c r="L270" s="7">
        <f t="shared" si="19"/>
        <v>1</v>
      </c>
      <c r="M270" s="3" t="s">
        <v>9</v>
      </c>
    </row>
    <row r="271" spans="1:13" x14ac:dyDescent="0.25">
      <c r="A271" s="3">
        <v>2023</v>
      </c>
      <c r="B271" s="3" t="s">
        <v>48</v>
      </c>
      <c r="C271" s="3">
        <v>11</v>
      </c>
      <c r="D271" s="4" t="s">
        <v>42</v>
      </c>
      <c r="E271" s="11" t="s">
        <v>73</v>
      </c>
      <c r="F271" s="11"/>
      <c r="G271" s="11" t="s">
        <v>17</v>
      </c>
      <c r="H271" s="11"/>
      <c r="I271" s="5" t="str">
        <f t="shared" si="16"/>
        <v>Krajčík</v>
      </c>
      <c r="J271" s="6" t="str">
        <f t="shared" si="17"/>
        <v>Baláž</v>
      </c>
      <c r="K271" s="7">
        <f t="shared" si="18"/>
        <v>1</v>
      </c>
      <c r="L271" s="7">
        <f t="shared" si="19"/>
        <v>0</v>
      </c>
      <c r="M271" s="3" t="s">
        <v>8</v>
      </c>
    </row>
    <row r="272" spans="1:13" x14ac:dyDescent="0.25">
      <c r="A272" s="3">
        <v>2023</v>
      </c>
      <c r="B272" s="3" t="s">
        <v>48</v>
      </c>
      <c r="C272" s="3">
        <v>12</v>
      </c>
      <c r="D272" s="4" t="s">
        <v>42</v>
      </c>
      <c r="E272" s="11" t="s">
        <v>81</v>
      </c>
      <c r="F272" s="11"/>
      <c r="G272" s="11" t="s">
        <v>75</v>
      </c>
      <c r="H272" s="11"/>
      <c r="I272" s="5" t="str">
        <f t="shared" si="16"/>
        <v>Višňovský</v>
      </c>
      <c r="J272" s="6" t="str">
        <f t="shared" si="17"/>
        <v>Achimský</v>
      </c>
      <c r="K272" s="7">
        <f t="shared" si="18"/>
        <v>1</v>
      </c>
      <c r="L272" s="7">
        <f t="shared" si="19"/>
        <v>0</v>
      </c>
      <c r="M272" s="3" t="s">
        <v>8</v>
      </c>
    </row>
    <row r="273" spans="1:13" x14ac:dyDescent="0.25">
      <c r="A273" s="3">
        <v>2024</v>
      </c>
      <c r="B273" s="3" t="s">
        <v>13</v>
      </c>
      <c r="C273" s="3">
        <v>1</v>
      </c>
      <c r="D273" s="4" t="s">
        <v>14</v>
      </c>
      <c r="E273" s="11" t="s">
        <v>55</v>
      </c>
      <c r="F273" s="11" t="s">
        <v>84</v>
      </c>
      <c r="G273" s="11" t="s">
        <v>49</v>
      </c>
      <c r="H273" s="11" t="s">
        <v>82</v>
      </c>
      <c r="I273" s="5" t="str">
        <f>IF(E273&gt;" ",IF(SEARCH(" ",E273)&gt;0,LEFT(E273,SEARCH(" ",E273)-1)) &amp; IF(F273&gt;" ",", " &amp; IF(SEARCH(" ",F273)&gt;0, LEFT(F273,SEARCH(" ",F273)-1)),""),"")</f>
        <v>Antala, Chochol</v>
      </c>
      <c r="J273" s="6" t="str">
        <f t="shared" si="17"/>
        <v>Beňo, Valo</v>
      </c>
      <c r="K273" s="7">
        <f t="shared" si="18"/>
        <v>1</v>
      </c>
      <c r="L273" s="7">
        <f t="shared" si="19"/>
        <v>0</v>
      </c>
      <c r="M273" s="3" t="s">
        <v>8</v>
      </c>
    </row>
    <row r="274" spans="1:13" x14ac:dyDescent="0.25">
      <c r="A274" s="3">
        <v>2024</v>
      </c>
      <c r="B274" s="3" t="s">
        <v>13</v>
      </c>
      <c r="C274" s="3">
        <v>2</v>
      </c>
      <c r="D274" s="4" t="s">
        <v>14</v>
      </c>
      <c r="E274" s="11" t="s">
        <v>77</v>
      </c>
      <c r="F274" s="11" t="s">
        <v>63</v>
      </c>
      <c r="G274" s="11" t="s">
        <v>46</v>
      </c>
      <c r="H274" s="11" t="s">
        <v>26</v>
      </c>
      <c r="I274" s="5" t="str">
        <f t="shared" ref="I274:I328" si="20">IF(E274&gt;" ",IF(SEARCH(" ",E274)&gt;0,LEFT(E274,SEARCH(" ",E274)-1)) &amp; IF(F274&gt;" ",", " &amp; IF(SEARCH(" ",F274)&gt;0, LEFT(F274,SEARCH(" ",F274)-1)),""),"")</f>
        <v>Holčík, Torma</v>
      </c>
      <c r="J274" s="6" t="str">
        <f t="shared" si="17"/>
        <v>Bielik, Sill</v>
      </c>
      <c r="K274" s="7">
        <f t="shared" si="18"/>
        <v>1</v>
      </c>
      <c r="L274" s="7">
        <f t="shared" si="19"/>
        <v>0</v>
      </c>
      <c r="M274" s="3" t="s">
        <v>8</v>
      </c>
    </row>
    <row r="275" spans="1:13" x14ac:dyDescent="0.25">
      <c r="A275" s="3">
        <v>2024</v>
      </c>
      <c r="B275" s="3" t="s">
        <v>13</v>
      </c>
      <c r="C275" s="3">
        <v>3</v>
      </c>
      <c r="D275" s="4" t="s">
        <v>14</v>
      </c>
      <c r="E275" s="11" t="s">
        <v>73</v>
      </c>
      <c r="F275" s="11" t="s">
        <v>81</v>
      </c>
      <c r="G275" s="11" t="s">
        <v>80</v>
      </c>
      <c r="H275" s="11" t="s">
        <v>85</v>
      </c>
      <c r="I275" s="5" t="str">
        <f t="shared" si="20"/>
        <v>Krajčík, Višňovský</v>
      </c>
      <c r="J275" s="6" t="str">
        <f t="shared" si="17"/>
        <v>Galbavý, Sciranka</v>
      </c>
      <c r="K275" s="7">
        <f t="shared" si="18"/>
        <v>1</v>
      </c>
      <c r="L275" s="7">
        <f t="shared" si="19"/>
        <v>0</v>
      </c>
      <c r="M275" s="3" t="s">
        <v>8</v>
      </c>
    </row>
    <row r="276" spans="1:13" x14ac:dyDescent="0.25">
      <c r="A276" s="3">
        <v>2024</v>
      </c>
      <c r="B276" s="3" t="s">
        <v>13</v>
      </c>
      <c r="C276" s="3">
        <v>4</v>
      </c>
      <c r="D276" s="4" t="s">
        <v>14</v>
      </c>
      <c r="E276" s="11" t="s">
        <v>86</v>
      </c>
      <c r="F276" s="11" t="s">
        <v>87</v>
      </c>
      <c r="G276" s="11" t="s">
        <v>38</v>
      </c>
      <c r="H276" s="11" t="s">
        <v>88</v>
      </c>
      <c r="I276" s="5" t="str">
        <f t="shared" si="20"/>
        <v>Šimonč, Šindelár</v>
      </c>
      <c r="J276" s="6" t="str">
        <f t="shared" si="17"/>
        <v>Segéň, Vasilenko</v>
      </c>
      <c r="K276" s="7">
        <f t="shared" si="18"/>
        <v>0</v>
      </c>
      <c r="L276" s="7">
        <f t="shared" si="19"/>
        <v>1</v>
      </c>
      <c r="M276" s="3" t="s">
        <v>9</v>
      </c>
    </row>
    <row r="277" spans="1:13" x14ac:dyDescent="0.25">
      <c r="A277" s="3">
        <v>2024</v>
      </c>
      <c r="B277" s="3" t="s">
        <v>13</v>
      </c>
      <c r="C277" s="3">
        <v>5</v>
      </c>
      <c r="D277" s="4" t="s">
        <v>40</v>
      </c>
      <c r="E277" s="11" t="s">
        <v>37</v>
      </c>
      <c r="F277" s="11" t="s">
        <v>53</v>
      </c>
      <c r="G277" s="11" t="s">
        <v>49</v>
      </c>
      <c r="H277" s="11" t="s">
        <v>27</v>
      </c>
      <c r="I277" s="5" t="str">
        <f t="shared" si="20"/>
        <v>Just, Machcinik</v>
      </c>
      <c r="J277" s="6" t="str">
        <f t="shared" si="17"/>
        <v>Beňo, Ryba</v>
      </c>
      <c r="K277" s="7">
        <f t="shared" si="18"/>
        <v>1</v>
      </c>
      <c r="L277" s="7">
        <f t="shared" si="19"/>
        <v>0</v>
      </c>
      <c r="M277" s="3" t="s">
        <v>8</v>
      </c>
    </row>
    <row r="278" spans="1:13" x14ac:dyDescent="0.25">
      <c r="A278" s="3">
        <v>2024</v>
      </c>
      <c r="B278" s="3" t="s">
        <v>13</v>
      </c>
      <c r="C278" s="3">
        <v>6</v>
      </c>
      <c r="D278" s="4" t="s">
        <v>40</v>
      </c>
      <c r="E278" s="11" t="s">
        <v>73</v>
      </c>
      <c r="F278" s="11" t="s">
        <v>81</v>
      </c>
      <c r="G278" s="11" t="s">
        <v>89</v>
      </c>
      <c r="H278" s="11" t="s">
        <v>22</v>
      </c>
      <c r="I278" s="5" t="str">
        <f t="shared" si="20"/>
        <v>Krajčík, Višňovský</v>
      </c>
      <c r="J278" s="6" t="str">
        <f t="shared" si="17"/>
        <v>Holečka, Tarnóczy</v>
      </c>
      <c r="K278" s="7">
        <f t="shared" si="18"/>
        <v>0</v>
      </c>
      <c r="L278" s="7">
        <f t="shared" si="19"/>
        <v>1</v>
      </c>
      <c r="M278" s="3" t="s">
        <v>9</v>
      </c>
    </row>
    <row r="279" spans="1:13" x14ac:dyDescent="0.25">
      <c r="A279" s="3">
        <v>2024</v>
      </c>
      <c r="B279" s="3" t="s">
        <v>13</v>
      </c>
      <c r="C279" s="3">
        <v>7</v>
      </c>
      <c r="D279" s="4" t="s">
        <v>40</v>
      </c>
      <c r="E279" s="11" t="s">
        <v>19</v>
      </c>
      <c r="F279" s="11" t="s">
        <v>86</v>
      </c>
      <c r="G279" s="11" t="s">
        <v>38</v>
      </c>
      <c r="H279" s="11" t="s">
        <v>88</v>
      </c>
      <c r="I279" s="5" t="str">
        <f t="shared" si="20"/>
        <v>Segéň, Šimonč</v>
      </c>
      <c r="J279" s="6" t="str">
        <f t="shared" si="17"/>
        <v>Segéň, Vasilenko</v>
      </c>
      <c r="K279" s="7">
        <f t="shared" si="18"/>
        <v>0</v>
      </c>
      <c r="L279" s="7">
        <f t="shared" si="19"/>
        <v>1</v>
      </c>
      <c r="M279" s="3" t="s">
        <v>9</v>
      </c>
    </row>
    <row r="280" spans="1:13" x14ac:dyDescent="0.25">
      <c r="A280" s="3">
        <v>2024</v>
      </c>
      <c r="B280" s="3" t="s">
        <v>13</v>
      </c>
      <c r="C280" s="3">
        <v>8</v>
      </c>
      <c r="D280" s="4" t="s">
        <v>40</v>
      </c>
      <c r="E280" s="11" t="s">
        <v>55</v>
      </c>
      <c r="F280" s="11" t="s">
        <v>25</v>
      </c>
      <c r="G280" s="11" t="s">
        <v>80</v>
      </c>
      <c r="H280" s="11" t="s">
        <v>79</v>
      </c>
      <c r="I280" s="5" t="str">
        <f t="shared" si="20"/>
        <v>Antala, Schin</v>
      </c>
      <c r="J280" s="6" t="str">
        <f t="shared" si="17"/>
        <v>Galbavý, Matlák</v>
      </c>
      <c r="K280" s="7">
        <f t="shared" si="18"/>
        <v>0</v>
      </c>
      <c r="L280" s="7">
        <f t="shared" si="19"/>
        <v>1</v>
      </c>
      <c r="M280" s="3" t="s">
        <v>9</v>
      </c>
    </row>
    <row r="281" spans="1:13" x14ac:dyDescent="0.25">
      <c r="A281" s="3">
        <v>2024</v>
      </c>
      <c r="B281" s="3" t="s">
        <v>41</v>
      </c>
      <c r="C281" s="3">
        <v>1</v>
      </c>
      <c r="D281" s="4" t="s">
        <v>14</v>
      </c>
      <c r="E281" s="11" t="s">
        <v>77</v>
      </c>
      <c r="F281" s="11" t="s">
        <v>63</v>
      </c>
      <c r="G281" s="11" t="s">
        <v>38</v>
      </c>
      <c r="H281" s="11" t="s">
        <v>88</v>
      </c>
      <c r="I281" s="5" t="str">
        <f t="shared" si="20"/>
        <v>Holčík, Torma</v>
      </c>
      <c r="J281" s="6" t="str">
        <f t="shared" si="17"/>
        <v>Segéň, Vasilenko</v>
      </c>
      <c r="K281" s="7">
        <f t="shared" si="18"/>
        <v>0</v>
      </c>
      <c r="L281" s="7">
        <f t="shared" si="19"/>
        <v>1</v>
      </c>
      <c r="M281" s="3" t="s">
        <v>9</v>
      </c>
    </row>
    <row r="282" spans="1:13" x14ac:dyDescent="0.25">
      <c r="A282" s="3">
        <v>2024</v>
      </c>
      <c r="B282" s="3" t="s">
        <v>41</v>
      </c>
      <c r="C282" s="3">
        <v>2</v>
      </c>
      <c r="D282" s="4" t="s">
        <v>14</v>
      </c>
      <c r="E282" s="11" t="s">
        <v>55</v>
      </c>
      <c r="F282" s="11" t="s">
        <v>86</v>
      </c>
      <c r="G282" s="11" t="s">
        <v>89</v>
      </c>
      <c r="H282" s="11" t="s">
        <v>85</v>
      </c>
      <c r="I282" s="5" t="str">
        <f t="shared" si="20"/>
        <v>Antala, Šimonč</v>
      </c>
      <c r="J282" s="6" t="str">
        <f t="shared" si="17"/>
        <v>Holečka, Sciranka</v>
      </c>
      <c r="K282" s="7">
        <f t="shared" si="18"/>
        <v>1</v>
      </c>
      <c r="L282" s="7">
        <f t="shared" si="19"/>
        <v>0</v>
      </c>
      <c r="M282" s="3" t="s">
        <v>8</v>
      </c>
    </row>
    <row r="283" spans="1:13" x14ac:dyDescent="0.25">
      <c r="A283" s="3">
        <v>2024</v>
      </c>
      <c r="B283" s="3" t="s">
        <v>41</v>
      </c>
      <c r="C283" s="3">
        <v>3</v>
      </c>
      <c r="D283" s="4" t="s">
        <v>14</v>
      </c>
      <c r="E283" s="11" t="s">
        <v>73</v>
      </c>
      <c r="F283" s="11" t="s">
        <v>81</v>
      </c>
      <c r="G283" s="11" t="s">
        <v>46</v>
      </c>
      <c r="H283" s="11" t="s">
        <v>79</v>
      </c>
      <c r="I283" s="5" t="str">
        <f t="shared" si="20"/>
        <v>Krajčík, Višňovský</v>
      </c>
      <c r="J283" s="6" t="str">
        <f t="shared" si="17"/>
        <v>Bielik, Matlák</v>
      </c>
      <c r="K283" s="7">
        <f t="shared" si="18"/>
        <v>1</v>
      </c>
      <c r="L283" s="7">
        <f t="shared" si="19"/>
        <v>0</v>
      </c>
      <c r="M283" s="3" t="s">
        <v>8</v>
      </c>
    </row>
    <row r="284" spans="1:13" x14ac:dyDescent="0.25">
      <c r="A284" s="3">
        <v>2024</v>
      </c>
      <c r="B284" s="3" t="s">
        <v>41</v>
      </c>
      <c r="C284" s="3">
        <v>4</v>
      </c>
      <c r="D284" s="4" t="s">
        <v>14</v>
      </c>
      <c r="E284" s="11" t="s">
        <v>25</v>
      </c>
      <c r="F284" s="11" t="s">
        <v>87</v>
      </c>
      <c r="G284" s="11" t="s">
        <v>49</v>
      </c>
      <c r="H284" s="11" t="s">
        <v>26</v>
      </c>
      <c r="I284" s="5" t="str">
        <f t="shared" si="20"/>
        <v>Schin, Šindelár</v>
      </c>
      <c r="J284" s="6" t="str">
        <f t="shared" si="17"/>
        <v>Beňo, Sill</v>
      </c>
      <c r="K284" s="7">
        <f t="shared" si="18"/>
        <v>0</v>
      </c>
      <c r="L284" s="7">
        <f t="shared" si="19"/>
        <v>1</v>
      </c>
      <c r="M284" s="3" t="s">
        <v>9</v>
      </c>
    </row>
    <row r="285" spans="1:13" x14ac:dyDescent="0.25">
      <c r="A285" s="3">
        <v>2024</v>
      </c>
      <c r="B285" s="3" t="s">
        <v>41</v>
      </c>
      <c r="C285" s="3">
        <v>5</v>
      </c>
      <c r="D285" s="4" t="s">
        <v>40</v>
      </c>
      <c r="E285" s="11" t="s">
        <v>77</v>
      </c>
      <c r="F285" s="11" t="s">
        <v>19</v>
      </c>
      <c r="G285" s="11" t="s">
        <v>80</v>
      </c>
      <c r="H285" s="11" t="s">
        <v>82</v>
      </c>
      <c r="I285" s="5" t="str">
        <f t="shared" si="20"/>
        <v>Holčík, Segéň</v>
      </c>
      <c r="J285" s="6" t="str">
        <f t="shared" si="17"/>
        <v>Galbavý, Valo</v>
      </c>
      <c r="K285" s="7">
        <f t="shared" si="18"/>
        <v>0</v>
      </c>
      <c r="L285" s="7">
        <f t="shared" si="19"/>
        <v>1</v>
      </c>
      <c r="M285" s="3" t="s">
        <v>9</v>
      </c>
    </row>
    <row r="286" spans="1:13" x14ac:dyDescent="0.25">
      <c r="A286" s="3">
        <v>2024</v>
      </c>
      <c r="B286" s="3" t="s">
        <v>41</v>
      </c>
      <c r="C286" s="3">
        <v>6</v>
      </c>
      <c r="D286" s="4" t="s">
        <v>40</v>
      </c>
      <c r="E286" s="11" t="s">
        <v>37</v>
      </c>
      <c r="F286" s="11" t="s">
        <v>53</v>
      </c>
      <c r="G286" s="11" t="s">
        <v>22</v>
      </c>
      <c r="H286" s="11" t="s">
        <v>88</v>
      </c>
      <c r="I286" s="5" t="str">
        <f t="shared" si="20"/>
        <v>Just, Machcinik</v>
      </c>
      <c r="J286" s="6" t="str">
        <f t="shared" si="17"/>
        <v>Tarnóczy, Vasilenko</v>
      </c>
      <c r="K286" s="7">
        <f t="shared" si="18"/>
        <v>1</v>
      </c>
      <c r="L286" s="7">
        <f t="shared" si="19"/>
        <v>0</v>
      </c>
      <c r="M286" s="3" t="s">
        <v>8</v>
      </c>
    </row>
    <row r="287" spans="1:13" x14ac:dyDescent="0.25">
      <c r="A287" s="3">
        <v>2024</v>
      </c>
      <c r="B287" s="3" t="s">
        <v>41</v>
      </c>
      <c r="C287" s="3">
        <v>7</v>
      </c>
      <c r="D287" s="4" t="s">
        <v>40</v>
      </c>
      <c r="E287" s="11" t="s">
        <v>84</v>
      </c>
      <c r="F287" s="11" t="s">
        <v>86</v>
      </c>
      <c r="G287" s="11" t="s">
        <v>46</v>
      </c>
      <c r="H287" s="11" t="s">
        <v>27</v>
      </c>
      <c r="I287" s="5" t="str">
        <f t="shared" si="20"/>
        <v>Chochol, Šimonč</v>
      </c>
      <c r="J287" s="6" t="str">
        <f t="shared" si="17"/>
        <v>Bielik, Ryba</v>
      </c>
      <c r="K287" s="7">
        <f t="shared" si="18"/>
        <v>1</v>
      </c>
      <c r="L287" s="7">
        <f t="shared" si="19"/>
        <v>0</v>
      </c>
      <c r="M287" s="3" t="s">
        <v>8</v>
      </c>
    </row>
    <row r="288" spans="1:13" x14ac:dyDescent="0.25">
      <c r="A288" s="3">
        <v>2024</v>
      </c>
      <c r="B288" s="3" t="s">
        <v>41</v>
      </c>
      <c r="C288" s="3">
        <v>8</v>
      </c>
      <c r="D288" s="4" t="s">
        <v>40</v>
      </c>
      <c r="E288" s="11" t="s">
        <v>87</v>
      </c>
      <c r="F288" s="11" t="s">
        <v>63</v>
      </c>
      <c r="G288" s="11" t="s">
        <v>85</v>
      </c>
      <c r="H288" s="11" t="s">
        <v>26</v>
      </c>
      <c r="I288" s="5" t="str">
        <f t="shared" si="20"/>
        <v>Šindelár, Torma</v>
      </c>
      <c r="J288" s="6" t="str">
        <f t="shared" si="17"/>
        <v>Sciranka, Sill</v>
      </c>
      <c r="K288" s="7">
        <f t="shared" si="18"/>
        <v>0</v>
      </c>
      <c r="L288" s="7">
        <f t="shared" si="19"/>
        <v>1</v>
      </c>
      <c r="M288" s="3" t="s">
        <v>9</v>
      </c>
    </row>
    <row r="289" spans="1:13" x14ac:dyDescent="0.25">
      <c r="A289" s="3">
        <v>2024</v>
      </c>
      <c r="B289" s="3" t="s">
        <v>48</v>
      </c>
      <c r="C289" s="3">
        <v>1</v>
      </c>
      <c r="D289" s="4" t="s">
        <v>42</v>
      </c>
      <c r="E289" s="11" t="s">
        <v>63</v>
      </c>
      <c r="F289" s="11"/>
      <c r="G289" s="11" t="s">
        <v>22</v>
      </c>
      <c r="H289" s="11"/>
      <c r="I289" s="5" t="str">
        <f t="shared" si="20"/>
        <v>Torma</v>
      </c>
      <c r="J289" s="6" t="str">
        <f t="shared" si="17"/>
        <v>Tarnóczy</v>
      </c>
      <c r="K289" s="7">
        <f t="shared" si="18"/>
        <v>1</v>
      </c>
      <c r="L289" s="7">
        <f t="shared" si="19"/>
        <v>0</v>
      </c>
      <c r="M289" s="3" t="s">
        <v>8</v>
      </c>
    </row>
    <row r="290" spans="1:13" x14ac:dyDescent="0.25">
      <c r="A290" s="3">
        <v>2024</v>
      </c>
      <c r="B290" s="3" t="s">
        <v>48</v>
      </c>
      <c r="C290" s="3">
        <v>2</v>
      </c>
      <c r="D290" s="4" t="s">
        <v>42</v>
      </c>
      <c r="E290" s="11" t="s">
        <v>25</v>
      </c>
      <c r="F290" s="11"/>
      <c r="G290" s="11" t="s">
        <v>27</v>
      </c>
      <c r="H290" s="11"/>
      <c r="I290" s="5" t="str">
        <f t="shared" si="20"/>
        <v>Schin</v>
      </c>
      <c r="J290" s="6" t="str">
        <f t="shared" si="17"/>
        <v>Ryba</v>
      </c>
      <c r="K290" s="7">
        <f t="shared" si="18"/>
        <v>1</v>
      </c>
      <c r="L290" s="7">
        <f t="shared" si="19"/>
        <v>0</v>
      </c>
      <c r="M290" s="3" t="s">
        <v>8</v>
      </c>
    </row>
    <row r="291" spans="1:13" x14ac:dyDescent="0.25">
      <c r="A291" s="3">
        <v>2024</v>
      </c>
      <c r="B291" s="3" t="s">
        <v>48</v>
      </c>
      <c r="C291" s="3">
        <v>3</v>
      </c>
      <c r="D291" s="4" t="s">
        <v>42</v>
      </c>
      <c r="E291" s="11" t="s">
        <v>37</v>
      </c>
      <c r="F291" s="11"/>
      <c r="G291" s="11" t="s">
        <v>49</v>
      </c>
      <c r="H291" s="11"/>
      <c r="I291" s="5" t="str">
        <f t="shared" si="20"/>
        <v>Just</v>
      </c>
      <c r="J291" s="6" t="str">
        <f t="shared" si="17"/>
        <v>Beňo</v>
      </c>
      <c r="K291" s="7">
        <f t="shared" si="18"/>
        <v>0</v>
      </c>
      <c r="L291" s="7">
        <f t="shared" si="19"/>
        <v>1</v>
      </c>
      <c r="M291" s="3" t="s">
        <v>9</v>
      </c>
    </row>
    <row r="292" spans="1:13" x14ac:dyDescent="0.25">
      <c r="A292" s="3">
        <v>2024</v>
      </c>
      <c r="B292" s="3" t="s">
        <v>48</v>
      </c>
      <c r="C292" s="3">
        <v>4</v>
      </c>
      <c r="D292" s="4" t="s">
        <v>42</v>
      </c>
      <c r="E292" s="11" t="s">
        <v>53</v>
      </c>
      <c r="F292" s="11"/>
      <c r="G292" s="11" t="s">
        <v>46</v>
      </c>
      <c r="H292" s="11"/>
      <c r="I292" s="5" t="str">
        <f t="shared" si="20"/>
        <v>Machcinik</v>
      </c>
      <c r="J292" s="6" t="str">
        <f t="shared" si="17"/>
        <v>Bielik</v>
      </c>
      <c r="K292" s="7">
        <f t="shared" si="18"/>
        <v>1</v>
      </c>
      <c r="L292" s="7">
        <f t="shared" si="19"/>
        <v>0</v>
      </c>
      <c r="M292" s="3" t="s">
        <v>8</v>
      </c>
    </row>
    <row r="293" spans="1:13" x14ac:dyDescent="0.25">
      <c r="A293" s="3">
        <v>2024</v>
      </c>
      <c r="B293" s="3" t="s">
        <v>48</v>
      </c>
      <c r="C293" s="3">
        <v>5</v>
      </c>
      <c r="D293" s="4" t="s">
        <v>42</v>
      </c>
      <c r="E293" s="11" t="s">
        <v>55</v>
      </c>
      <c r="F293" s="11"/>
      <c r="G293" s="11" t="s">
        <v>38</v>
      </c>
      <c r="H293" s="11"/>
      <c r="I293" s="5" t="str">
        <f t="shared" si="20"/>
        <v>Antala</v>
      </c>
      <c r="J293" s="6" t="str">
        <f t="shared" si="17"/>
        <v>Segéň</v>
      </c>
      <c r="K293" s="7">
        <f t="shared" si="18"/>
        <v>1</v>
      </c>
      <c r="L293" s="7">
        <f t="shared" si="19"/>
        <v>0</v>
      </c>
      <c r="M293" s="3" t="s">
        <v>8</v>
      </c>
    </row>
    <row r="294" spans="1:13" x14ac:dyDescent="0.25">
      <c r="A294" s="3">
        <v>2024</v>
      </c>
      <c r="B294" s="3" t="s">
        <v>48</v>
      </c>
      <c r="C294" s="3">
        <v>6</v>
      </c>
      <c r="D294" s="4" t="s">
        <v>42</v>
      </c>
      <c r="E294" s="11" t="s">
        <v>86</v>
      </c>
      <c r="F294" s="11"/>
      <c r="G294" s="11" t="s">
        <v>88</v>
      </c>
      <c r="H294" s="11"/>
      <c r="I294" s="5" t="str">
        <f t="shared" si="20"/>
        <v>Šimonč</v>
      </c>
      <c r="J294" s="6" t="str">
        <f t="shared" si="17"/>
        <v>Vasilenko</v>
      </c>
      <c r="K294" s="7">
        <f t="shared" si="18"/>
        <v>0</v>
      </c>
      <c r="L294" s="7">
        <f t="shared" si="19"/>
        <v>1</v>
      </c>
      <c r="M294" s="3" t="s">
        <v>9</v>
      </c>
    </row>
    <row r="295" spans="1:13" x14ac:dyDescent="0.25">
      <c r="A295" s="3">
        <v>2024</v>
      </c>
      <c r="B295" s="3" t="s">
        <v>48</v>
      </c>
      <c r="C295" s="3">
        <v>7</v>
      </c>
      <c r="D295" s="4" t="s">
        <v>42</v>
      </c>
      <c r="E295" s="11" t="s">
        <v>77</v>
      </c>
      <c r="F295" s="11"/>
      <c r="G295" s="11" t="s">
        <v>89</v>
      </c>
      <c r="H295" s="11"/>
      <c r="I295" s="5" t="str">
        <f t="shared" si="20"/>
        <v>Holčík</v>
      </c>
      <c r="J295" s="6" t="str">
        <f t="shared" si="17"/>
        <v>Holečka</v>
      </c>
      <c r="K295" s="7">
        <f t="shared" si="18"/>
        <v>0.5</v>
      </c>
      <c r="L295" s="7">
        <f t="shared" si="19"/>
        <v>0.5</v>
      </c>
      <c r="M295" s="3" t="s">
        <v>23</v>
      </c>
    </row>
    <row r="296" spans="1:13" x14ac:dyDescent="0.25">
      <c r="A296" s="3">
        <v>2024</v>
      </c>
      <c r="B296" s="3" t="s">
        <v>48</v>
      </c>
      <c r="C296" s="3">
        <v>8</v>
      </c>
      <c r="D296" s="4" t="s">
        <v>42</v>
      </c>
      <c r="E296" s="11" t="s">
        <v>19</v>
      </c>
      <c r="F296" s="11"/>
      <c r="G296" s="11" t="s">
        <v>82</v>
      </c>
      <c r="H296" s="11"/>
      <c r="I296" s="5" t="str">
        <f t="shared" si="20"/>
        <v>Segéň</v>
      </c>
      <c r="J296" s="6" t="str">
        <f t="shared" si="17"/>
        <v>Valo</v>
      </c>
      <c r="K296" s="7">
        <f t="shared" si="18"/>
        <v>0</v>
      </c>
      <c r="L296" s="7">
        <f t="shared" si="19"/>
        <v>1</v>
      </c>
      <c r="M296" s="3" t="s">
        <v>9</v>
      </c>
    </row>
    <row r="297" spans="1:13" x14ac:dyDescent="0.25">
      <c r="A297" s="3">
        <v>2024</v>
      </c>
      <c r="B297" s="3" t="s">
        <v>48</v>
      </c>
      <c r="C297" s="3">
        <v>9</v>
      </c>
      <c r="D297" s="4" t="s">
        <v>42</v>
      </c>
      <c r="E297" s="11" t="s">
        <v>84</v>
      </c>
      <c r="F297" s="11"/>
      <c r="G297" s="11" t="s">
        <v>26</v>
      </c>
      <c r="H297" s="11"/>
      <c r="I297" s="5" t="str">
        <f t="shared" si="20"/>
        <v>Chochol</v>
      </c>
      <c r="J297" s="6" t="str">
        <f t="shared" si="17"/>
        <v>Sill</v>
      </c>
      <c r="K297" s="7">
        <f t="shared" si="18"/>
        <v>1</v>
      </c>
      <c r="L297" s="7">
        <f t="shared" si="19"/>
        <v>0</v>
      </c>
      <c r="M297" s="3" t="s">
        <v>8</v>
      </c>
    </row>
    <row r="298" spans="1:13" x14ac:dyDescent="0.25">
      <c r="A298" s="3">
        <v>2024</v>
      </c>
      <c r="B298" s="3" t="s">
        <v>48</v>
      </c>
      <c r="C298" s="3">
        <v>10</v>
      </c>
      <c r="D298" s="4" t="s">
        <v>42</v>
      </c>
      <c r="E298" s="11" t="s">
        <v>73</v>
      </c>
      <c r="F298" s="11"/>
      <c r="G298" s="11" t="s">
        <v>85</v>
      </c>
      <c r="H298" s="11"/>
      <c r="I298" s="5" t="str">
        <f t="shared" si="20"/>
        <v>Krajčík</v>
      </c>
      <c r="J298" s="6" t="str">
        <f t="shared" si="17"/>
        <v>Sciranka</v>
      </c>
      <c r="K298" s="7">
        <f t="shared" si="18"/>
        <v>1</v>
      </c>
      <c r="L298" s="7">
        <f t="shared" si="19"/>
        <v>0</v>
      </c>
      <c r="M298" s="3" t="s">
        <v>8</v>
      </c>
    </row>
    <row r="299" spans="1:13" x14ac:dyDescent="0.25">
      <c r="A299" s="3">
        <v>2024</v>
      </c>
      <c r="B299" s="3" t="s">
        <v>48</v>
      </c>
      <c r="C299" s="3">
        <v>11</v>
      </c>
      <c r="D299" s="4" t="s">
        <v>42</v>
      </c>
      <c r="E299" s="11" t="s">
        <v>81</v>
      </c>
      <c r="F299" s="11"/>
      <c r="G299" s="11" t="s">
        <v>80</v>
      </c>
      <c r="H299" s="11"/>
      <c r="I299" s="5" t="str">
        <f t="shared" si="20"/>
        <v>Višňovský</v>
      </c>
      <c r="J299" s="6" t="str">
        <f t="shared" si="17"/>
        <v>Galbavý</v>
      </c>
      <c r="K299" s="7">
        <f t="shared" si="18"/>
        <v>0</v>
      </c>
      <c r="L299" s="7">
        <f t="shared" si="19"/>
        <v>1</v>
      </c>
      <c r="M299" s="3" t="s">
        <v>9</v>
      </c>
    </row>
    <row r="300" spans="1:13" x14ac:dyDescent="0.25">
      <c r="A300" s="3">
        <v>2024</v>
      </c>
      <c r="B300" s="3" t="s">
        <v>48</v>
      </c>
      <c r="C300" s="3">
        <v>12</v>
      </c>
      <c r="D300" s="4" t="s">
        <v>42</v>
      </c>
      <c r="E300" s="11" t="s">
        <v>87</v>
      </c>
      <c r="F300" s="11"/>
      <c r="G300" s="11" t="s">
        <v>79</v>
      </c>
      <c r="H300" s="11"/>
      <c r="I300" s="5" t="str">
        <f t="shared" si="20"/>
        <v>Šindelár</v>
      </c>
      <c r="J300" s="6" t="str">
        <f t="shared" si="17"/>
        <v>Matlák</v>
      </c>
      <c r="K300" s="7">
        <f t="shared" si="18"/>
        <v>1</v>
      </c>
      <c r="L300" s="7">
        <f t="shared" si="19"/>
        <v>0</v>
      </c>
      <c r="M300" s="3" t="s">
        <v>8</v>
      </c>
    </row>
    <row r="301" spans="1:13" x14ac:dyDescent="0.25">
      <c r="A301" s="3">
        <v>2025</v>
      </c>
      <c r="B301" s="3" t="s">
        <v>13</v>
      </c>
      <c r="C301" s="3">
        <v>1</v>
      </c>
      <c r="D301" s="4" t="s">
        <v>14</v>
      </c>
      <c r="E301" s="11" t="s">
        <v>90</v>
      </c>
      <c r="F301" s="11" t="s">
        <v>19</v>
      </c>
      <c r="G301" s="11" t="s">
        <v>46</v>
      </c>
      <c r="H301" s="11" t="s">
        <v>27</v>
      </c>
      <c r="I301" s="5" t="str">
        <f t="shared" si="20"/>
        <v>Bednárik, Segéň</v>
      </c>
      <c r="J301" s="6" t="str">
        <f t="shared" si="17"/>
        <v>Bielik, Ryba</v>
      </c>
      <c r="K301" s="7">
        <f t="shared" si="18"/>
        <v>0</v>
      </c>
      <c r="L301" s="7">
        <f t="shared" si="19"/>
        <v>1</v>
      </c>
      <c r="M301" s="3" t="s">
        <v>9</v>
      </c>
    </row>
    <row r="302" spans="1:13" x14ac:dyDescent="0.25">
      <c r="A302" s="3">
        <v>2025</v>
      </c>
      <c r="B302" s="3" t="s">
        <v>13</v>
      </c>
      <c r="C302" s="3">
        <v>2</v>
      </c>
      <c r="D302" s="4" t="s">
        <v>14</v>
      </c>
      <c r="E302" s="11" t="s">
        <v>55</v>
      </c>
      <c r="F302" s="11" t="s">
        <v>87</v>
      </c>
      <c r="G302" s="11" t="s">
        <v>80</v>
      </c>
      <c r="H302" s="11" t="s">
        <v>82</v>
      </c>
      <c r="I302" s="5" t="str">
        <f t="shared" si="20"/>
        <v>Antala, Šindelár</v>
      </c>
      <c r="J302" s="6" t="str">
        <f t="shared" si="17"/>
        <v>Galbavý, Valo</v>
      </c>
      <c r="K302" s="7">
        <f t="shared" si="18"/>
        <v>1</v>
      </c>
      <c r="L302" s="7">
        <f t="shared" si="19"/>
        <v>0</v>
      </c>
      <c r="M302" s="3" t="s">
        <v>8</v>
      </c>
    </row>
    <row r="303" spans="1:13" x14ac:dyDescent="0.25">
      <c r="A303" s="3">
        <v>2025</v>
      </c>
      <c r="B303" s="3" t="s">
        <v>13</v>
      </c>
      <c r="C303" s="3">
        <v>3</v>
      </c>
      <c r="D303" s="4" t="s">
        <v>14</v>
      </c>
      <c r="E303" s="11" t="s">
        <v>77</v>
      </c>
      <c r="F303" s="11" t="s">
        <v>63</v>
      </c>
      <c r="G303" s="11" t="s">
        <v>49</v>
      </c>
      <c r="H303" s="11" t="s">
        <v>26</v>
      </c>
      <c r="I303" s="5" t="str">
        <f t="shared" si="20"/>
        <v>Holčík, Torma</v>
      </c>
      <c r="J303" s="6" t="str">
        <f t="shared" si="17"/>
        <v>Beňo, Sill</v>
      </c>
      <c r="K303" s="7">
        <f t="shared" si="18"/>
        <v>1</v>
      </c>
      <c r="L303" s="7">
        <f t="shared" si="19"/>
        <v>0</v>
      </c>
      <c r="M303" s="3" t="s">
        <v>8</v>
      </c>
    </row>
    <row r="304" spans="1:13" x14ac:dyDescent="0.25">
      <c r="A304" s="3">
        <v>2025</v>
      </c>
      <c r="B304" s="3" t="s">
        <v>13</v>
      </c>
      <c r="C304" s="3">
        <v>4</v>
      </c>
      <c r="D304" s="4" t="s">
        <v>14</v>
      </c>
      <c r="E304" s="11" t="s">
        <v>73</v>
      </c>
      <c r="F304" s="11" t="s">
        <v>81</v>
      </c>
      <c r="G304" s="11" t="s">
        <v>38</v>
      </c>
      <c r="H304" s="11" t="s">
        <v>88</v>
      </c>
      <c r="I304" s="5" t="str">
        <f t="shared" si="20"/>
        <v>Krajčík, Višňovský</v>
      </c>
      <c r="J304" s="6" t="str">
        <f t="shared" si="17"/>
        <v>Segéň, Vasilenko</v>
      </c>
      <c r="K304" s="7">
        <f t="shared" si="18"/>
        <v>0</v>
      </c>
      <c r="L304" s="7">
        <f t="shared" si="19"/>
        <v>1</v>
      </c>
      <c r="M304" s="3" t="s">
        <v>9</v>
      </c>
    </row>
    <row r="305" spans="1:13" x14ac:dyDescent="0.25">
      <c r="A305" s="3">
        <v>2025</v>
      </c>
      <c r="B305" s="3" t="s">
        <v>13</v>
      </c>
      <c r="C305" s="3">
        <v>5</v>
      </c>
      <c r="D305" s="4" t="s">
        <v>40</v>
      </c>
      <c r="E305" s="11" t="s">
        <v>55</v>
      </c>
      <c r="F305" s="11" t="s">
        <v>87</v>
      </c>
      <c r="G305" s="11" t="s">
        <v>91</v>
      </c>
      <c r="H305" s="11" t="s">
        <v>46</v>
      </c>
      <c r="I305" s="5" t="str">
        <f t="shared" si="20"/>
        <v>Antala, Šindelár</v>
      </c>
      <c r="J305" s="6" t="str">
        <f t="shared" si="17"/>
        <v>Babic, Bielik</v>
      </c>
      <c r="K305" s="7">
        <f t="shared" si="18"/>
        <v>0</v>
      </c>
      <c r="L305" s="7">
        <f t="shared" si="19"/>
        <v>1</v>
      </c>
      <c r="M305" s="3" t="s">
        <v>9</v>
      </c>
    </row>
    <row r="306" spans="1:13" x14ac:dyDescent="0.25">
      <c r="A306" s="3">
        <v>2025</v>
      </c>
      <c r="B306" s="3" t="s">
        <v>13</v>
      </c>
      <c r="C306" s="3">
        <v>6</v>
      </c>
      <c r="D306" s="4" t="s">
        <v>40</v>
      </c>
      <c r="E306" s="11" t="s">
        <v>74</v>
      </c>
      <c r="F306" s="11" t="s">
        <v>69</v>
      </c>
      <c r="G306" s="11" t="s">
        <v>89</v>
      </c>
      <c r="H306" s="11" t="s">
        <v>22</v>
      </c>
      <c r="I306" s="5" t="str">
        <f t="shared" si="20"/>
        <v>Benčík, Šedivý</v>
      </c>
      <c r="J306" s="6" t="str">
        <f t="shared" si="17"/>
        <v>Holečka, Tarnóczy</v>
      </c>
      <c r="K306" s="7">
        <f t="shared" si="18"/>
        <v>1</v>
      </c>
      <c r="L306" s="7">
        <f t="shared" si="19"/>
        <v>0</v>
      </c>
      <c r="M306" s="3" t="s">
        <v>8</v>
      </c>
    </row>
    <row r="307" spans="1:13" x14ac:dyDescent="0.25">
      <c r="A307" s="3">
        <v>2025</v>
      </c>
      <c r="B307" s="3" t="s">
        <v>13</v>
      </c>
      <c r="C307" s="3">
        <v>7</v>
      </c>
      <c r="D307" s="4" t="s">
        <v>40</v>
      </c>
      <c r="E307" s="11" t="s">
        <v>73</v>
      </c>
      <c r="F307" s="11" t="s">
        <v>81</v>
      </c>
      <c r="G307" s="11" t="s">
        <v>85</v>
      </c>
      <c r="H307" s="11" t="s">
        <v>26</v>
      </c>
      <c r="I307" s="5" t="str">
        <f t="shared" si="20"/>
        <v>Krajčík, Višňovský</v>
      </c>
      <c r="J307" s="6" t="str">
        <f t="shared" si="17"/>
        <v>Sciranka, Sill</v>
      </c>
      <c r="K307" s="7">
        <f t="shared" si="18"/>
        <v>1</v>
      </c>
      <c r="L307" s="7">
        <f t="shared" si="19"/>
        <v>0</v>
      </c>
      <c r="M307" s="3" t="s">
        <v>8</v>
      </c>
    </row>
    <row r="308" spans="1:13" x14ac:dyDescent="0.25">
      <c r="A308" s="3">
        <v>2025</v>
      </c>
      <c r="B308" s="3" t="s">
        <v>13</v>
      </c>
      <c r="C308" s="3">
        <v>8</v>
      </c>
      <c r="D308" s="4" t="s">
        <v>40</v>
      </c>
      <c r="E308" s="11" t="s">
        <v>37</v>
      </c>
      <c r="F308" s="11" t="s">
        <v>53</v>
      </c>
      <c r="G308" s="11" t="s">
        <v>38</v>
      </c>
      <c r="H308" s="11" t="s">
        <v>88</v>
      </c>
      <c r="I308" s="5" t="str">
        <f t="shared" si="20"/>
        <v>Just, Machcinik</v>
      </c>
      <c r="J308" s="6" t="str">
        <f t="shared" si="17"/>
        <v>Segéň, Vasilenko</v>
      </c>
      <c r="K308" s="7">
        <f t="shared" si="18"/>
        <v>0</v>
      </c>
      <c r="L308" s="7">
        <f t="shared" si="19"/>
        <v>1</v>
      </c>
      <c r="M308" s="3" t="s">
        <v>9</v>
      </c>
    </row>
    <row r="309" spans="1:13" x14ac:dyDescent="0.25">
      <c r="A309" s="3">
        <v>2025</v>
      </c>
      <c r="B309" s="3" t="s">
        <v>41</v>
      </c>
      <c r="C309" s="3">
        <v>1</v>
      </c>
      <c r="D309" s="4" t="s">
        <v>14</v>
      </c>
      <c r="E309" s="11" t="s">
        <v>73</v>
      </c>
      <c r="F309" s="11" t="s">
        <v>81</v>
      </c>
      <c r="G309" s="11" t="s">
        <v>49</v>
      </c>
      <c r="H309" s="11" t="s">
        <v>80</v>
      </c>
      <c r="I309" s="5" t="str">
        <f t="shared" si="20"/>
        <v>Krajčík, Višňovský</v>
      </c>
      <c r="J309" s="6" t="str">
        <f t="shared" si="17"/>
        <v>Beňo, Galbavý</v>
      </c>
      <c r="K309" s="7">
        <f t="shared" si="18"/>
        <v>0.5</v>
      </c>
      <c r="L309" s="7">
        <f t="shared" si="19"/>
        <v>0.5</v>
      </c>
      <c r="M309" s="3" t="s">
        <v>23</v>
      </c>
    </row>
    <row r="310" spans="1:13" x14ac:dyDescent="0.25">
      <c r="A310" s="3">
        <v>2025</v>
      </c>
      <c r="B310" s="3" t="s">
        <v>41</v>
      </c>
      <c r="C310" s="3">
        <v>2</v>
      </c>
      <c r="D310" s="4" t="s">
        <v>14</v>
      </c>
      <c r="E310" s="11" t="s">
        <v>55</v>
      </c>
      <c r="F310" s="11" t="s">
        <v>87</v>
      </c>
      <c r="G310" s="11" t="s">
        <v>38</v>
      </c>
      <c r="H310" s="11" t="s">
        <v>88</v>
      </c>
      <c r="I310" s="5" t="str">
        <f t="shared" si="20"/>
        <v>Antala, Šindelár</v>
      </c>
      <c r="J310" s="6" t="str">
        <f t="shared" si="17"/>
        <v>Segéň, Vasilenko</v>
      </c>
      <c r="K310" s="7">
        <f t="shared" si="18"/>
        <v>0.5</v>
      </c>
      <c r="L310" s="7">
        <f t="shared" si="19"/>
        <v>0.5</v>
      </c>
      <c r="M310" s="3" t="s">
        <v>23</v>
      </c>
    </row>
    <row r="311" spans="1:13" x14ac:dyDescent="0.25">
      <c r="A311" s="3">
        <v>2025</v>
      </c>
      <c r="B311" s="3" t="s">
        <v>41</v>
      </c>
      <c r="C311" s="3">
        <v>3</v>
      </c>
      <c r="D311" s="4" t="s">
        <v>14</v>
      </c>
      <c r="E311" s="11" t="s">
        <v>77</v>
      </c>
      <c r="F311" s="11" t="s">
        <v>63</v>
      </c>
      <c r="G311" s="11" t="s">
        <v>46</v>
      </c>
      <c r="H311" s="11" t="s">
        <v>27</v>
      </c>
      <c r="I311" s="5" t="str">
        <f t="shared" si="20"/>
        <v>Holčík, Torma</v>
      </c>
      <c r="J311" s="6" t="str">
        <f t="shared" si="17"/>
        <v>Bielik, Ryba</v>
      </c>
      <c r="K311" s="7">
        <f t="shared" si="18"/>
        <v>1</v>
      </c>
      <c r="L311" s="7">
        <f t="shared" si="19"/>
        <v>0</v>
      </c>
      <c r="M311" s="3" t="s">
        <v>8</v>
      </c>
    </row>
    <row r="312" spans="1:13" x14ac:dyDescent="0.25">
      <c r="A312" s="3">
        <v>2025</v>
      </c>
      <c r="B312" s="3" t="s">
        <v>41</v>
      </c>
      <c r="C312" s="3">
        <v>4</v>
      </c>
      <c r="D312" s="4" t="s">
        <v>14</v>
      </c>
      <c r="E312" s="11" t="s">
        <v>90</v>
      </c>
      <c r="F312" s="11" t="s">
        <v>74</v>
      </c>
      <c r="G312" s="11" t="s">
        <v>91</v>
      </c>
      <c r="H312" s="11" t="s">
        <v>82</v>
      </c>
      <c r="I312" s="5" t="str">
        <f t="shared" si="20"/>
        <v>Bednárik, Benčík</v>
      </c>
      <c r="J312" s="6" t="str">
        <f t="shared" si="17"/>
        <v>Babic, Valo</v>
      </c>
      <c r="K312" s="7">
        <f t="shared" si="18"/>
        <v>0</v>
      </c>
      <c r="L312" s="7">
        <f t="shared" si="19"/>
        <v>1</v>
      </c>
      <c r="M312" s="3" t="s">
        <v>9</v>
      </c>
    </row>
    <row r="313" spans="1:13" x14ac:dyDescent="0.25">
      <c r="A313" s="3">
        <v>2025</v>
      </c>
      <c r="B313" s="3" t="s">
        <v>41</v>
      </c>
      <c r="C313" s="3">
        <v>5</v>
      </c>
      <c r="D313" s="4" t="s">
        <v>40</v>
      </c>
      <c r="E313" s="11" t="s">
        <v>55</v>
      </c>
      <c r="F313" s="11" t="s">
        <v>73</v>
      </c>
      <c r="G313" s="11" t="s">
        <v>38</v>
      </c>
      <c r="H313" s="11" t="s">
        <v>22</v>
      </c>
      <c r="I313" s="5" t="str">
        <f t="shared" si="20"/>
        <v>Antala, Krajčík</v>
      </c>
      <c r="J313" s="6" t="str">
        <f t="shared" si="17"/>
        <v>Segéň, Tarnóczy</v>
      </c>
      <c r="K313" s="7">
        <f t="shared" si="18"/>
        <v>0</v>
      </c>
      <c r="L313" s="7">
        <f t="shared" si="19"/>
        <v>1</v>
      </c>
      <c r="M313" s="3" t="s">
        <v>9</v>
      </c>
    </row>
    <row r="314" spans="1:13" x14ac:dyDescent="0.25">
      <c r="A314" s="3">
        <v>2025</v>
      </c>
      <c r="B314" s="3" t="s">
        <v>41</v>
      </c>
      <c r="C314" s="3">
        <v>6</v>
      </c>
      <c r="D314" s="4" t="s">
        <v>40</v>
      </c>
      <c r="E314" s="11" t="s">
        <v>87</v>
      </c>
      <c r="F314" s="11" t="s">
        <v>81</v>
      </c>
      <c r="G314" s="11" t="s">
        <v>49</v>
      </c>
      <c r="H314" s="11" t="s">
        <v>80</v>
      </c>
      <c r="I314" s="5" t="str">
        <f t="shared" si="20"/>
        <v>Šindelár, Višňovský</v>
      </c>
      <c r="J314" s="6" t="str">
        <f t="shared" si="17"/>
        <v>Beňo, Galbavý</v>
      </c>
      <c r="K314" s="7">
        <f t="shared" si="18"/>
        <v>0</v>
      </c>
      <c r="L314" s="7">
        <f t="shared" si="19"/>
        <v>1</v>
      </c>
      <c r="M314" s="3" t="s">
        <v>9</v>
      </c>
    </row>
    <row r="315" spans="1:13" x14ac:dyDescent="0.25">
      <c r="A315" s="3">
        <v>2025</v>
      </c>
      <c r="B315" s="3" t="s">
        <v>41</v>
      </c>
      <c r="C315" s="3">
        <v>7</v>
      </c>
      <c r="D315" s="4" t="s">
        <v>40</v>
      </c>
      <c r="E315" s="11" t="s">
        <v>53</v>
      </c>
      <c r="F315" s="11" t="s">
        <v>69</v>
      </c>
      <c r="G315" s="11" t="s">
        <v>85</v>
      </c>
      <c r="H315" s="11" t="s">
        <v>26</v>
      </c>
      <c r="I315" s="5" t="str">
        <f t="shared" si="20"/>
        <v>Machcinik, Šedivý</v>
      </c>
      <c r="J315" s="6" t="str">
        <f t="shared" si="17"/>
        <v>Sciranka, Sill</v>
      </c>
      <c r="K315" s="7">
        <f t="shared" si="18"/>
        <v>1</v>
      </c>
      <c r="L315" s="7">
        <f t="shared" si="19"/>
        <v>0</v>
      </c>
      <c r="M315" s="3" t="s">
        <v>8</v>
      </c>
    </row>
    <row r="316" spans="1:13" x14ac:dyDescent="0.25">
      <c r="A316" s="3">
        <v>2025</v>
      </c>
      <c r="B316" s="3" t="s">
        <v>41</v>
      </c>
      <c r="C316" s="3">
        <v>8</v>
      </c>
      <c r="D316" s="4" t="s">
        <v>40</v>
      </c>
      <c r="E316" s="11" t="s">
        <v>37</v>
      </c>
      <c r="F316" s="11" t="s">
        <v>19</v>
      </c>
      <c r="G316" s="11" t="s">
        <v>89</v>
      </c>
      <c r="H316" s="11" t="s">
        <v>88</v>
      </c>
      <c r="I316" s="5" t="str">
        <f t="shared" si="20"/>
        <v>Just, Segéň</v>
      </c>
      <c r="J316" s="6" t="str">
        <f t="shared" si="17"/>
        <v>Holečka, Vasilenko</v>
      </c>
      <c r="K316" s="7">
        <f t="shared" si="18"/>
        <v>0</v>
      </c>
      <c r="L316" s="7">
        <f t="shared" si="19"/>
        <v>1</v>
      </c>
      <c r="M316" s="3" t="s">
        <v>9</v>
      </c>
    </row>
    <row r="317" spans="1:13" x14ac:dyDescent="0.25">
      <c r="A317" s="3">
        <v>2025</v>
      </c>
      <c r="B317" s="3" t="s">
        <v>48</v>
      </c>
      <c r="C317" s="3">
        <v>1</v>
      </c>
      <c r="D317" s="4" t="s">
        <v>42</v>
      </c>
      <c r="E317" s="11" t="s">
        <v>77</v>
      </c>
      <c r="F317" s="11"/>
      <c r="G317" s="11" t="s">
        <v>49</v>
      </c>
      <c r="H317" s="11"/>
      <c r="I317" s="5" t="str">
        <f t="shared" si="20"/>
        <v>Holčík</v>
      </c>
      <c r="J317" s="6" t="str">
        <f t="shared" si="17"/>
        <v>Beňo</v>
      </c>
      <c r="K317" s="7">
        <f t="shared" si="18"/>
        <v>1</v>
      </c>
      <c r="L317" s="7">
        <f t="shared" si="19"/>
        <v>0</v>
      </c>
      <c r="M317" s="3" t="s">
        <v>8</v>
      </c>
    </row>
    <row r="318" spans="1:13" x14ac:dyDescent="0.25">
      <c r="A318" s="3">
        <v>2025</v>
      </c>
      <c r="B318" s="3" t="s">
        <v>48</v>
      </c>
      <c r="C318" s="3">
        <v>2</v>
      </c>
      <c r="D318" s="4" t="s">
        <v>42</v>
      </c>
      <c r="E318" s="11" t="s">
        <v>74</v>
      </c>
      <c r="F318" s="11"/>
      <c r="G318" s="11" t="s">
        <v>80</v>
      </c>
      <c r="H318" s="11"/>
      <c r="I318" s="5" t="str">
        <f t="shared" si="20"/>
        <v>Benčík</v>
      </c>
      <c r="J318" s="6" t="str">
        <f t="shared" si="17"/>
        <v>Galbavý</v>
      </c>
      <c r="K318" s="7">
        <f t="shared" si="18"/>
        <v>0.5</v>
      </c>
      <c r="L318" s="7">
        <f t="shared" si="19"/>
        <v>0.5</v>
      </c>
      <c r="M318" s="3" t="s">
        <v>23</v>
      </c>
    </row>
    <row r="319" spans="1:13" x14ac:dyDescent="0.25">
      <c r="A319" s="3">
        <v>2025</v>
      </c>
      <c r="B319" s="3" t="s">
        <v>48</v>
      </c>
      <c r="C319" s="3">
        <v>3</v>
      </c>
      <c r="D319" s="4" t="s">
        <v>42</v>
      </c>
      <c r="E319" s="11" t="s">
        <v>63</v>
      </c>
      <c r="F319" s="11"/>
      <c r="G319" s="11" t="s">
        <v>88</v>
      </c>
      <c r="H319" s="11"/>
      <c r="I319" s="5" t="str">
        <f t="shared" si="20"/>
        <v>Torma</v>
      </c>
      <c r="J319" s="6" t="str">
        <f t="shared" si="17"/>
        <v>Vasilenko</v>
      </c>
      <c r="K319" s="7">
        <f t="shared" si="18"/>
        <v>0</v>
      </c>
      <c r="L319" s="7">
        <f t="shared" si="19"/>
        <v>1</v>
      </c>
      <c r="M319" s="3" t="s">
        <v>9</v>
      </c>
    </row>
    <row r="320" spans="1:13" x14ac:dyDescent="0.25">
      <c r="A320" s="3">
        <v>2025</v>
      </c>
      <c r="B320" s="3" t="s">
        <v>48</v>
      </c>
      <c r="C320" s="3">
        <v>4</v>
      </c>
      <c r="D320" s="4" t="s">
        <v>42</v>
      </c>
      <c r="E320" s="11" t="s">
        <v>55</v>
      </c>
      <c r="F320" s="11"/>
      <c r="G320" s="11" t="s">
        <v>26</v>
      </c>
      <c r="H320" s="11"/>
      <c r="I320" s="5" t="str">
        <f t="shared" si="20"/>
        <v>Antala</v>
      </c>
      <c r="J320" s="6" t="str">
        <f t="shared" si="17"/>
        <v>Sill</v>
      </c>
      <c r="K320" s="7">
        <f t="shared" si="18"/>
        <v>1</v>
      </c>
      <c r="L320" s="7">
        <f t="shared" si="19"/>
        <v>0</v>
      </c>
      <c r="M320" s="3" t="s">
        <v>8</v>
      </c>
    </row>
    <row r="321" spans="1:13" x14ac:dyDescent="0.25">
      <c r="A321" s="3">
        <v>2025</v>
      </c>
      <c r="B321" s="3" t="s">
        <v>48</v>
      </c>
      <c r="C321" s="3">
        <v>5</v>
      </c>
      <c r="D321" s="4" t="s">
        <v>42</v>
      </c>
      <c r="E321" s="11" t="s">
        <v>37</v>
      </c>
      <c r="F321" s="11"/>
      <c r="G321" s="11" t="s">
        <v>38</v>
      </c>
      <c r="H321" s="11"/>
      <c r="I321" s="5" t="str">
        <f t="shared" si="20"/>
        <v>Just</v>
      </c>
      <c r="J321" s="6" t="str">
        <f t="shared" si="17"/>
        <v>Segéň</v>
      </c>
      <c r="K321" s="7">
        <f t="shared" si="18"/>
        <v>0</v>
      </c>
      <c r="L321" s="7">
        <f t="shared" si="19"/>
        <v>1</v>
      </c>
      <c r="M321" s="3" t="s">
        <v>9</v>
      </c>
    </row>
    <row r="322" spans="1:13" x14ac:dyDescent="0.25">
      <c r="A322" s="3">
        <v>2025</v>
      </c>
      <c r="B322" s="3" t="s">
        <v>48</v>
      </c>
      <c r="C322" s="3">
        <v>6</v>
      </c>
      <c r="D322" s="4" t="s">
        <v>42</v>
      </c>
      <c r="E322" s="11" t="s">
        <v>19</v>
      </c>
      <c r="F322" s="11"/>
      <c r="G322" s="11" t="s">
        <v>22</v>
      </c>
      <c r="H322" s="11"/>
      <c r="I322" s="5" t="str">
        <f t="shared" si="20"/>
        <v>Segéň</v>
      </c>
      <c r="J322" s="6" t="str">
        <f t="shared" si="17"/>
        <v>Tarnóczy</v>
      </c>
      <c r="K322" s="7">
        <f t="shared" si="18"/>
        <v>1</v>
      </c>
      <c r="L322" s="7">
        <f t="shared" si="19"/>
        <v>0</v>
      </c>
      <c r="M322" s="3" t="s">
        <v>8</v>
      </c>
    </row>
    <row r="323" spans="1:13" x14ac:dyDescent="0.25">
      <c r="A323" s="3">
        <v>2025</v>
      </c>
      <c r="B323" s="3" t="s">
        <v>48</v>
      </c>
      <c r="C323" s="3">
        <v>7</v>
      </c>
      <c r="D323" s="4" t="s">
        <v>42</v>
      </c>
      <c r="E323" s="11" t="s">
        <v>53</v>
      </c>
      <c r="F323" s="11"/>
      <c r="G323" s="11" t="s">
        <v>89</v>
      </c>
      <c r="H323" s="11"/>
      <c r="I323" s="5" t="str">
        <f t="shared" si="20"/>
        <v>Machcinik</v>
      </c>
      <c r="J323" s="6" t="str">
        <f t="shared" ref="J323:J328" si="21">IF(G323&gt;" ",IF(SEARCH(" ",G323)&gt;0,LEFT(G323,SEARCH(" ",G323)-1)) &amp; IF(H323&gt;" ",", " &amp; IF(SEARCH(" ",H323)&gt;0, LEFT(H323,SEARCH(" ",H323)-1)),""),"")</f>
        <v>Holečka</v>
      </c>
      <c r="K323" s="7">
        <f t="shared" ref="K323:K328" si="22">IF(M323="Lefties",1,IF(M323="Righties",0,IF(M323="A/S",1/2,"")))</f>
        <v>0</v>
      </c>
      <c r="L323" s="7">
        <f t="shared" ref="L323:L328" si="23">IF(M323="Righties",1,IF(M323="Lefties",0,IF(M323="A/S",1/2,"")))</f>
        <v>1</v>
      </c>
      <c r="M323" s="3" t="s">
        <v>9</v>
      </c>
    </row>
    <row r="324" spans="1:13" x14ac:dyDescent="0.25">
      <c r="A324" s="3">
        <v>2025</v>
      </c>
      <c r="B324" s="3" t="s">
        <v>48</v>
      </c>
      <c r="C324" s="3">
        <v>8</v>
      </c>
      <c r="D324" s="4" t="s">
        <v>42</v>
      </c>
      <c r="E324" s="11" t="s">
        <v>69</v>
      </c>
      <c r="F324" s="11"/>
      <c r="G324" s="11" t="s">
        <v>82</v>
      </c>
      <c r="H324" s="11"/>
      <c r="I324" s="5" t="str">
        <f t="shared" si="20"/>
        <v>Šedivý</v>
      </c>
      <c r="J324" s="6" t="str">
        <f t="shared" si="21"/>
        <v>Valo</v>
      </c>
      <c r="K324" s="7">
        <f t="shared" si="22"/>
        <v>0</v>
      </c>
      <c r="L324" s="7">
        <f t="shared" si="23"/>
        <v>1</v>
      </c>
      <c r="M324" s="3" t="s">
        <v>9</v>
      </c>
    </row>
    <row r="325" spans="1:13" x14ac:dyDescent="0.25">
      <c r="A325" s="3">
        <v>2025</v>
      </c>
      <c r="B325" s="3" t="s">
        <v>48</v>
      </c>
      <c r="C325" s="3">
        <v>9</v>
      </c>
      <c r="D325" s="4" t="s">
        <v>42</v>
      </c>
      <c r="E325" s="11" t="s">
        <v>87</v>
      </c>
      <c r="F325" s="11"/>
      <c r="G325" s="11" t="s">
        <v>46</v>
      </c>
      <c r="H325" s="11"/>
      <c r="I325" s="5" t="str">
        <f t="shared" si="20"/>
        <v>Šindelár</v>
      </c>
      <c r="J325" s="6" t="str">
        <f t="shared" si="21"/>
        <v>Bielik</v>
      </c>
      <c r="K325" s="7">
        <f t="shared" si="22"/>
        <v>0.5</v>
      </c>
      <c r="L325" s="7">
        <f t="shared" si="23"/>
        <v>0.5</v>
      </c>
      <c r="M325" s="3" t="s">
        <v>23</v>
      </c>
    </row>
    <row r="326" spans="1:13" x14ac:dyDescent="0.25">
      <c r="A326" s="3">
        <v>2025</v>
      </c>
      <c r="B326" s="3" t="s">
        <v>48</v>
      </c>
      <c r="C326" s="3">
        <v>10</v>
      </c>
      <c r="D326" s="4" t="s">
        <v>42</v>
      </c>
      <c r="E326" s="11" t="s">
        <v>90</v>
      </c>
      <c r="F326" s="11"/>
      <c r="G326" s="11" t="s">
        <v>85</v>
      </c>
      <c r="H326" s="11"/>
      <c r="I326" s="5" t="str">
        <f t="shared" si="20"/>
        <v>Bednárik</v>
      </c>
      <c r="J326" s="6" t="str">
        <f t="shared" si="21"/>
        <v>Sciranka</v>
      </c>
      <c r="K326" s="7">
        <f t="shared" si="22"/>
        <v>0</v>
      </c>
      <c r="L326" s="7">
        <f t="shared" si="23"/>
        <v>1</v>
      </c>
      <c r="M326" s="3" t="s">
        <v>9</v>
      </c>
    </row>
    <row r="327" spans="1:13" x14ac:dyDescent="0.25">
      <c r="A327" s="3">
        <v>2025</v>
      </c>
      <c r="B327" s="3" t="s">
        <v>48</v>
      </c>
      <c r="C327" s="3">
        <v>11</v>
      </c>
      <c r="D327" s="4" t="s">
        <v>42</v>
      </c>
      <c r="E327" s="11" t="s">
        <v>81</v>
      </c>
      <c r="F327" s="11"/>
      <c r="G327" s="11" t="s">
        <v>91</v>
      </c>
      <c r="H327" s="11"/>
      <c r="I327" s="5" t="str">
        <f t="shared" si="20"/>
        <v>Višňovský</v>
      </c>
      <c r="J327" s="6" t="str">
        <f t="shared" si="21"/>
        <v>Babic</v>
      </c>
      <c r="K327" s="7">
        <f t="shared" si="22"/>
        <v>0.5</v>
      </c>
      <c r="L327" s="7">
        <f t="shared" si="23"/>
        <v>0.5</v>
      </c>
      <c r="M327" s="3" t="s">
        <v>23</v>
      </c>
    </row>
    <row r="328" spans="1:13" x14ac:dyDescent="0.25">
      <c r="A328" s="3">
        <v>2025</v>
      </c>
      <c r="B328" s="3" t="s">
        <v>48</v>
      </c>
      <c r="C328" s="3">
        <v>12</v>
      </c>
      <c r="D328" s="4" t="s">
        <v>42</v>
      </c>
      <c r="E328" s="11" t="s">
        <v>73</v>
      </c>
      <c r="F328" s="11"/>
      <c r="G328" s="11" t="s">
        <v>27</v>
      </c>
      <c r="H328" s="11"/>
      <c r="I328" s="5" t="str">
        <f t="shared" si="20"/>
        <v>Krajčík</v>
      </c>
      <c r="J328" s="6" t="str">
        <f t="shared" si="21"/>
        <v>Ryba</v>
      </c>
      <c r="K328" s="7">
        <f t="shared" si="22"/>
        <v>1</v>
      </c>
      <c r="L328" s="7">
        <f t="shared" si="23"/>
        <v>0</v>
      </c>
      <c r="M328" s="3" t="s">
        <v>8</v>
      </c>
    </row>
  </sheetData>
  <conditionalFormatting sqref="D2:D328">
    <cfRule type="cellIs" dxfId="10" priority="1" operator="equal">
      <formula>"Fourball"</formula>
    </cfRule>
    <cfRule type="cellIs" dxfId="9" priority="2" operator="equal">
      <formula>"Single"</formula>
    </cfRule>
    <cfRule type="cellIs" dxfId="8" priority="3" operator="equal">
      <formula>"Foursome"</formula>
    </cfRule>
  </conditionalFormatting>
  <conditionalFormatting sqref="K2:K328">
    <cfRule type="cellIs" dxfId="7" priority="32" stopIfTrue="1" operator="equal">
      <formula>1</formula>
    </cfRule>
  </conditionalFormatting>
  <conditionalFormatting sqref="K2:L328">
    <cfRule type="cellIs" dxfId="6" priority="26" stopIfTrue="1" operator="equal">
      <formula>0.5</formula>
    </cfRule>
    <cfRule type="cellIs" dxfId="5" priority="27" stopIfTrue="1" operator="equal">
      <formula>0</formula>
    </cfRule>
  </conditionalFormatting>
  <conditionalFormatting sqref="K2:M328">
    <cfRule type="containsBlanks" dxfId="4" priority="25" stopIfTrue="1">
      <formula>LEN(TRIM(K2))=0</formula>
    </cfRule>
  </conditionalFormatting>
  <conditionalFormatting sqref="L2:L328">
    <cfRule type="cellIs" dxfId="3" priority="28" stopIfTrue="1" operator="equal">
      <formula>1</formula>
    </cfRule>
  </conditionalFormatting>
  <conditionalFormatting sqref="M2:M328">
    <cfRule type="cellIs" dxfId="2" priority="34" stopIfTrue="1" operator="equal">
      <formula>"A/S"</formula>
    </cfRule>
    <cfRule type="cellIs" dxfId="1" priority="35" stopIfTrue="1" operator="equal">
      <formula>"Righties"</formula>
    </cfRule>
    <cfRule type="cellIs" dxfId="0" priority="36" stopIfTrue="1" operator="equal">
      <formula>"Lefties"</formula>
    </cfRule>
  </conditionalFormatting>
  <dataValidations count="5">
    <dataValidation type="list" allowBlank="1" showInputMessage="1" showErrorMessage="1" sqref="G189:H244" xr:uid="{F1E998A8-28B6-4601-AD53-AA205C2F1BCE}">
      <formula1>Righties</formula1>
    </dataValidation>
    <dataValidation type="list" allowBlank="1" showInputMessage="1" showErrorMessage="1" sqref="E189:F244" xr:uid="{05ECDAC1-8313-4590-92F4-9D56DB593734}">
      <formula1>Lefties</formula1>
    </dataValidation>
    <dataValidation type="list" allowBlank="1" showInputMessage="1" showErrorMessage="1" sqref="M2:M328" xr:uid="{477FF2BD-F05D-46E3-A7F9-E7B053F1B14E}">
      <formula1>"Lefties,Righties,A/S"</formula1>
    </dataValidation>
    <dataValidation type="list" allowBlank="1" showInputMessage="1" showErrorMessage="1" sqref="D2:D328" xr:uid="{228976B5-9F87-4035-9FE2-C19D73E09749}">
      <formula1>"Foursome,Fourball,Single"</formula1>
    </dataValidation>
    <dataValidation type="list" allowBlank="1" showInputMessage="1" showErrorMessage="1" sqref="B2:B328" xr:uid="{6EBEDCC9-8296-4078-86E3-0B96067FD047}">
      <formula1>"1.,2.,3."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B703-B40A-4937-BEC9-B770FF1D91D5}">
  <dimension ref="A1:I18"/>
  <sheetViews>
    <sheetView topLeftCell="B1" workbookViewId="0">
      <selection activeCell="I2" sqref="I2"/>
    </sheetView>
  </sheetViews>
  <sheetFormatPr defaultRowHeight="15" x14ac:dyDescent="0.25"/>
  <cols>
    <col min="1" max="1" width="7.7109375" bestFit="1" customWidth="1"/>
    <col min="2" max="2" width="31.7109375" bestFit="1" customWidth="1"/>
    <col min="3" max="3" width="11.140625" bestFit="1" customWidth="1"/>
    <col min="4" max="4" width="11.42578125" bestFit="1" customWidth="1"/>
    <col min="5" max="5" width="9.5703125" customWidth="1"/>
    <col min="6" max="7" width="11.140625" style="13" customWidth="1"/>
    <col min="8" max="8" width="58.7109375" bestFit="1" customWidth="1"/>
    <col min="9" max="9" width="50.42578125" bestFit="1" customWidth="1"/>
  </cols>
  <sheetData>
    <row r="1" spans="1:9" x14ac:dyDescent="0.25">
      <c r="A1" s="1" t="s">
        <v>0</v>
      </c>
      <c r="B1" s="10" t="s">
        <v>105</v>
      </c>
      <c r="C1" s="1" t="s">
        <v>92</v>
      </c>
      <c r="D1" s="1" t="s">
        <v>93</v>
      </c>
      <c r="E1" s="1" t="s">
        <v>12</v>
      </c>
      <c r="F1" s="14" t="s">
        <v>132</v>
      </c>
      <c r="G1" s="14" t="s">
        <v>133</v>
      </c>
      <c r="H1" s="1" t="s">
        <v>108</v>
      </c>
      <c r="I1" s="1" t="s">
        <v>107</v>
      </c>
    </row>
    <row r="2" spans="1:9" x14ac:dyDescent="0.25">
      <c r="A2" s="11">
        <v>2013</v>
      </c>
      <c r="B2" s="12" t="s">
        <v>131</v>
      </c>
      <c r="C2" s="11" t="s">
        <v>25</v>
      </c>
      <c r="D2" s="11" t="s">
        <v>38</v>
      </c>
      <c r="E2" s="3" t="s">
        <v>8</v>
      </c>
      <c r="F2" s="11">
        <v>1</v>
      </c>
      <c r="G2" s="11">
        <v>0</v>
      </c>
      <c r="H2" s="15" t="s">
        <v>106</v>
      </c>
      <c r="I2" s="15" t="s">
        <v>135</v>
      </c>
    </row>
    <row r="3" spans="1:9" x14ac:dyDescent="0.25">
      <c r="A3" s="11">
        <v>2014</v>
      </c>
      <c r="B3" s="12" t="s">
        <v>94</v>
      </c>
      <c r="C3" s="11" t="s">
        <v>25</v>
      </c>
      <c r="D3" s="11" t="s">
        <v>38</v>
      </c>
      <c r="E3" s="3" t="s">
        <v>8</v>
      </c>
      <c r="F3" s="11">
        <v>2</v>
      </c>
      <c r="G3" s="11">
        <v>0</v>
      </c>
      <c r="H3" s="15" t="s">
        <v>109</v>
      </c>
      <c r="I3" s="15" t="s">
        <v>112</v>
      </c>
    </row>
    <row r="4" spans="1:9" x14ac:dyDescent="0.25">
      <c r="A4" s="11">
        <v>2015</v>
      </c>
      <c r="B4" s="12" t="s">
        <v>95</v>
      </c>
      <c r="C4" s="11" t="s">
        <v>25</v>
      </c>
      <c r="D4" s="11" t="s">
        <v>38</v>
      </c>
      <c r="E4" s="3" t="s">
        <v>8</v>
      </c>
      <c r="F4" s="11">
        <v>3</v>
      </c>
      <c r="G4" s="11">
        <v>0</v>
      </c>
      <c r="H4" s="15" t="s">
        <v>110</v>
      </c>
      <c r="I4" s="15" t="s">
        <v>111</v>
      </c>
    </row>
    <row r="5" spans="1:9" x14ac:dyDescent="0.25">
      <c r="A5" s="11">
        <v>2016</v>
      </c>
      <c r="B5" s="12" t="s">
        <v>96</v>
      </c>
      <c r="C5" s="11" t="s">
        <v>25</v>
      </c>
      <c r="D5" s="11" t="s">
        <v>38</v>
      </c>
      <c r="E5" s="3" t="s">
        <v>8</v>
      </c>
      <c r="F5" s="11">
        <v>4</v>
      </c>
      <c r="G5" s="11">
        <v>0</v>
      </c>
      <c r="H5" s="15" t="s">
        <v>114</v>
      </c>
      <c r="I5" s="15" t="s">
        <v>113</v>
      </c>
    </row>
    <row r="6" spans="1:9" x14ac:dyDescent="0.25">
      <c r="A6" s="11">
        <v>2017</v>
      </c>
      <c r="B6" s="12" t="s">
        <v>97</v>
      </c>
      <c r="C6" s="11" t="s">
        <v>25</v>
      </c>
      <c r="D6" s="11" t="s">
        <v>38</v>
      </c>
      <c r="E6" s="3" t="s">
        <v>8</v>
      </c>
      <c r="F6" s="11">
        <v>5</v>
      </c>
      <c r="G6" s="11">
        <v>0</v>
      </c>
      <c r="H6" s="15" t="s">
        <v>115</v>
      </c>
      <c r="I6" s="15" t="s">
        <v>116</v>
      </c>
    </row>
    <row r="7" spans="1:9" x14ac:dyDescent="0.25">
      <c r="A7" s="11">
        <v>2018</v>
      </c>
      <c r="B7" s="12" t="s">
        <v>98</v>
      </c>
      <c r="C7" s="11" t="s">
        <v>24</v>
      </c>
      <c r="D7" s="11" t="s">
        <v>27</v>
      </c>
      <c r="E7" s="3" t="s">
        <v>8</v>
      </c>
      <c r="F7" s="11">
        <v>6</v>
      </c>
      <c r="G7" s="11">
        <v>0</v>
      </c>
      <c r="H7" s="15" t="s">
        <v>118</v>
      </c>
      <c r="I7" s="15" t="s">
        <v>117</v>
      </c>
    </row>
    <row r="8" spans="1:9" x14ac:dyDescent="0.25">
      <c r="A8" s="11">
        <v>2019</v>
      </c>
      <c r="B8" s="12" t="s">
        <v>99</v>
      </c>
      <c r="C8" s="11" t="s">
        <v>24</v>
      </c>
      <c r="D8" s="11" t="s">
        <v>27</v>
      </c>
      <c r="E8" s="3" t="s">
        <v>9</v>
      </c>
      <c r="F8" s="11">
        <v>6</v>
      </c>
      <c r="G8" s="11">
        <v>1</v>
      </c>
      <c r="H8" s="15" t="s">
        <v>119</v>
      </c>
      <c r="I8" s="15" t="s">
        <v>120</v>
      </c>
    </row>
    <row r="9" spans="1:9" x14ac:dyDescent="0.25">
      <c r="A9" s="11">
        <v>2020</v>
      </c>
      <c r="B9" s="12" t="s">
        <v>100</v>
      </c>
      <c r="C9" s="11" t="s">
        <v>37</v>
      </c>
      <c r="D9" s="11" t="s">
        <v>26</v>
      </c>
      <c r="E9" s="3" t="s">
        <v>9</v>
      </c>
      <c r="F9" s="11">
        <v>6</v>
      </c>
      <c r="G9" s="11">
        <v>2</v>
      </c>
      <c r="H9" s="15" t="s">
        <v>122</v>
      </c>
      <c r="I9" s="15" t="s">
        <v>121</v>
      </c>
    </row>
    <row r="10" spans="1:9" x14ac:dyDescent="0.25">
      <c r="A10" s="11">
        <v>2021</v>
      </c>
      <c r="B10" s="12" t="s">
        <v>100</v>
      </c>
      <c r="C10" s="11" t="s">
        <v>37</v>
      </c>
      <c r="D10" s="11" t="s">
        <v>26</v>
      </c>
      <c r="E10" s="3" t="s">
        <v>9</v>
      </c>
      <c r="F10" s="11">
        <v>6</v>
      </c>
      <c r="G10" s="11">
        <v>3</v>
      </c>
      <c r="H10" s="15" t="s">
        <v>123</v>
      </c>
      <c r="I10" s="15" t="s">
        <v>121</v>
      </c>
    </row>
    <row r="11" spans="1:9" x14ac:dyDescent="0.25">
      <c r="A11" s="11">
        <v>2022</v>
      </c>
      <c r="B11" s="12" t="s">
        <v>101</v>
      </c>
      <c r="C11" s="11" t="s">
        <v>19</v>
      </c>
      <c r="D11" s="11" t="s">
        <v>50</v>
      </c>
      <c r="E11" s="3" t="s">
        <v>8</v>
      </c>
      <c r="F11" s="11">
        <v>7</v>
      </c>
      <c r="G11" s="11">
        <v>3</v>
      </c>
      <c r="H11" s="15" t="s">
        <v>125</v>
      </c>
      <c r="I11" s="15" t="s">
        <v>124</v>
      </c>
    </row>
    <row r="12" spans="1:9" x14ac:dyDescent="0.25">
      <c r="A12" s="11">
        <v>2023</v>
      </c>
      <c r="B12" s="12" t="s">
        <v>102</v>
      </c>
      <c r="C12" s="11" t="s">
        <v>19</v>
      </c>
      <c r="D12" s="11" t="s">
        <v>50</v>
      </c>
      <c r="E12" s="3" t="s">
        <v>9</v>
      </c>
      <c r="F12" s="11">
        <v>7</v>
      </c>
      <c r="G12" s="11">
        <v>4</v>
      </c>
      <c r="H12" s="15" t="s">
        <v>126</v>
      </c>
      <c r="I12" s="15" t="s">
        <v>127</v>
      </c>
    </row>
    <row r="13" spans="1:9" x14ac:dyDescent="0.25">
      <c r="A13" s="11">
        <v>2024</v>
      </c>
      <c r="B13" s="12" t="s">
        <v>103</v>
      </c>
      <c r="C13" s="11" t="s">
        <v>69</v>
      </c>
      <c r="D13" s="11" t="s">
        <v>17</v>
      </c>
      <c r="E13" s="3" t="s">
        <v>8</v>
      </c>
      <c r="F13" s="11">
        <v>8</v>
      </c>
      <c r="G13" s="11">
        <v>4</v>
      </c>
      <c r="H13" s="15" t="s">
        <v>128</v>
      </c>
      <c r="I13" s="15" t="s">
        <v>134</v>
      </c>
    </row>
    <row r="14" spans="1:9" x14ac:dyDescent="0.25">
      <c r="A14" s="11">
        <v>2025</v>
      </c>
      <c r="B14" s="12" t="s">
        <v>104</v>
      </c>
      <c r="C14" s="11" t="s">
        <v>69</v>
      </c>
      <c r="D14" s="11" t="s">
        <v>17</v>
      </c>
      <c r="E14" s="3" t="s">
        <v>9</v>
      </c>
      <c r="F14" s="11">
        <v>8</v>
      </c>
      <c r="G14" s="11">
        <v>5</v>
      </c>
      <c r="H14" s="15" t="s">
        <v>129</v>
      </c>
      <c r="I14" s="15" t="s">
        <v>130</v>
      </c>
    </row>
    <row r="18" spans="8:8" x14ac:dyDescent="0.25">
      <c r="H18" s="17"/>
    </row>
  </sheetData>
  <dataValidations count="1">
    <dataValidation type="list" allowBlank="1" showInputMessage="1" showErrorMessage="1" sqref="E2:E14" xr:uid="{1BEED8D4-AB71-453C-8827-EB59518CE837}">
      <formula1>"Lefties,Righties,A/S"</formula1>
    </dataValidation>
  </dataValidations>
  <hyperlinks>
    <hyperlink ref="H2" r:id="rId1" xr:uid="{8898082C-6FE4-4B1E-BE1D-DA2F08E43AB5}"/>
    <hyperlink ref="I2" r:id="rId2" xr:uid="{677104D3-A026-457D-8A10-42C674DAFE55}"/>
    <hyperlink ref="I3" r:id="rId3" display="https://scontent-vie1-1.xx.fbcdn.net/v/t39.30808-6/294744283_555651426354818_9063292769574535846_n.jpg?_nc_cat=106&amp;ccb=1-7&amp;_nc_sid=6ee11a&amp;_nc_ohc=jxeF2O9BHTQQ7kNvwEMLxFx&amp;_nc_oc=Adm63q4prWK8f_TyG6qr3h3mHLr4OsWV9uByBUj2n9Q1VnRPJWIoPKpsXxcm6V0Hvrk&amp;_nc_zt=23&amp;_nc_ht=scontent-vie1-1.xx&amp;_nc_gid=ILBiWwolf6T70k_snLqq0w&amp;oh=00_AfswjyFW4Rng_3-WVXu2eOqhOhhbgBAPkpohZ6QFw9vo0w&amp;oe=6987E5DD" xr:uid="{636E5CE6-A306-4AFD-878D-D7AD335CA0F8}"/>
    <hyperlink ref="I4" r:id="rId4" xr:uid="{D6C18C12-15A2-49BE-BA77-F56D32AD183F}"/>
    <hyperlink ref="H3" r:id="rId5" xr:uid="{576A65FB-F8E1-4803-8FD6-DEEC04C8058C}"/>
    <hyperlink ref="H4" r:id="rId6" xr:uid="{BFC202FF-6A48-40D5-B6F2-4E931C7F2035}"/>
    <hyperlink ref="I5" r:id="rId7" xr:uid="{105DC64C-BB76-423A-A20D-8DF7296497F9}"/>
    <hyperlink ref="H5" r:id="rId8" xr:uid="{74D56290-346B-49B0-93D2-263D6D17DD1C}"/>
    <hyperlink ref="H6" r:id="rId9" xr:uid="{F54A1561-39B5-48E3-8E35-86BFD8FC7381}"/>
    <hyperlink ref="I6" r:id="rId10" xr:uid="{DE3D20CF-16A0-4425-AC5A-27B48E6590A1}"/>
    <hyperlink ref="I7" r:id="rId11" xr:uid="{35FC8989-66D6-4123-80A4-52DD1F613525}"/>
    <hyperlink ref="H7" r:id="rId12" xr:uid="{358DF3F1-DAA5-459E-A23F-D8C0BF4EE27C}"/>
    <hyperlink ref="H8" r:id="rId13" xr:uid="{FBCF1400-AF51-4B4B-ACEA-FC5DD1AF74BA}"/>
    <hyperlink ref="I8" r:id="rId14" xr:uid="{F826DCB7-2FC1-42AC-8011-6F9F68BB3F06}"/>
    <hyperlink ref="I9" r:id="rId15" xr:uid="{C621B8A2-92E6-4150-9731-4D34B2016C6B}"/>
    <hyperlink ref="I10" r:id="rId16" xr:uid="{19362175-1081-4C48-AAAA-676BFDA4CC23}"/>
    <hyperlink ref="H10" r:id="rId17" xr:uid="{5E92B1EE-AAE5-4130-8382-B661FA899587}"/>
    <hyperlink ref="I11" r:id="rId18" xr:uid="{C2863BC0-9CCB-4451-8E1E-5AC04595AA70}"/>
    <hyperlink ref="H11" r:id="rId19" xr:uid="{7661970A-C2F3-489A-86E0-9CD722838D78}"/>
    <hyperlink ref="H12" r:id="rId20" xr:uid="{1E8D9A23-3120-4ADF-ABEE-49BB8F4C3D30}"/>
    <hyperlink ref="I12" r:id="rId21" xr:uid="{6462DFE7-A450-420D-9E4B-F3D9B17562EA}"/>
    <hyperlink ref="I13" r:id="rId22" xr:uid="{F6F7795A-3493-40EE-89E5-B530193042B5}"/>
    <hyperlink ref="H13" r:id="rId23" xr:uid="{6D8D3FA4-C0B2-4701-A3AE-0F9476029280}"/>
    <hyperlink ref="H14" r:id="rId24" xr:uid="{DD2C7238-FF68-4A75-9DA6-6789776038E3}"/>
    <hyperlink ref="I14" r:id="rId25" xr:uid="{9EA00C5A-57D3-4D8E-BA24-3717822E0807}"/>
    <hyperlink ref="H9" r:id="rId26" display="https://kamnavyletsk.b-cdn.net/rails/active_storage/representations/proxy/eyJfcmFpbHMiOnsiZGF0YSI6NTAwNywicHVyIjoiYmxvYl9pZCJ9fQ==--e7b5f5290728002c6f40c09dce0bc77114d5e3ad/eyJfcmFpbHMiOnsiZGF0YSI6eyJmb3JtYXQiOiJqcGVnIiwicmVzaXplX3RvX2ZpbGwiOls4MzIsNTAwLHsiY3JvcCI6ImF0dGVudGlvbiJ9XSwiY29udmVydCI6ImpwZWciLCJzYXZlciI6eyJxdWFsaXR5Ijo1MCwic3RyaXAiOnRydWV9fSwicHVyIjoidmFyaWF0aW9uIn19--2d91b21b4c7abfc8e74e7b1cdefeaf768fda05cb/photo.jpeg" xr:uid="{78D01CE1-AC28-445D-B75B-CC6263F3F8FC}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Zápasy</vt:lpstr>
      <vt:lpstr>Turnaje</vt:lpstr>
    </vt:vector>
  </TitlesOfParts>
  <Company>MPSR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Segéň Ján</dc:creator>
  <cp:lastModifiedBy>Segéň Ján</cp:lastModifiedBy>
  <dcterms:created xsi:type="dcterms:W3CDTF">2026-01-27T15:19:46Z</dcterms:created>
  <dcterms:modified xsi:type="dcterms:W3CDTF">2026-02-06T08:24:02Z</dcterms:modified>
</cp:coreProperties>
</file>